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venterragroup.sharepoint.com/sites/DesignTeam/Shared Documents/11_Floating Wind/02_Projects/02_R&amp;D/IDEA IRL/01 Reporting/06_Reports/WP2.3 Data Sharing/06 UN/For Release/"/>
    </mc:Choice>
  </mc:AlternateContent>
  <xr:revisionPtr revIDLastSave="36" documentId="13_ncr:1_{08462132-841D-4CD3-8DC0-318A1A491F93}" xr6:coauthVersionLast="47" xr6:coauthVersionMax="47" xr10:uidLastSave="{AB9511D4-0821-4EB3-8825-22E84D5040EF}"/>
  <bookViews>
    <workbookView xWindow="-108" yWindow="-108" windowWidth="23256" windowHeight="12456" xr2:uid="{00000000-000D-0000-FFFF-FFFF00000000}"/>
  </bookViews>
  <sheets>
    <sheet name="Cover" sheetId="3" r:id="rId1"/>
    <sheet name="DLC16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3" i="2" l="1"/>
  <c r="T12" i="2"/>
  <c r="T11" i="2"/>
  <c r="T10" i="2"/>
  <c r="T9" i="2"/>
  <c r="T8" i="2"/>
  <c r="T7" i="2"/>
  <c r="T6" i="2"/>
  <c r="T5" i="2"/>
  <c r="T4" i="2"/>
  <c r="T3" i="2"/>
  <c r="T2" i="2"/>
</calcChain>
</file>

<file path=xl/sharedStrings.xml><?xml version="1.0" encoding="utf-8"?>
<sst xmlns="http://schemas.openxmlformats.org/spreadsheetml/2006/main" count="104" uniqueCount="49">
  <si>
    <t>Analysis Type</t>
  </si>
  <si>
    <t>Wind model</t>
  </si>
  <si>
    <t>Wind Speed</t>
  </si>
  <si>
    <t>Turbulence Intensity(%)</t>
  </si>
  <si>
    <t>Wind seed</t>
  </si>
  <si>
    <t>Wind direction</t>
  </si>
  <si>
    <t>Yaw Misalignment</t>
  </si>
  <si>
    <t>Wave model</t>
  </si>
  <si>
    <t>Hs</t>
  </si>
  <si>
    <t>Tp</t>
  </si>
  <si>
    <t>Wave seed</t>
  </si>
  <si>
    <t>Wave direction</t>
  </si>
  <si>
    <t>Length of time series (after initialisation)</t>
  </si>
  <si>
    <t>Current Model</t>
  </si>
  <si>
    <t>U</t>
  </si>
  <si>
    <t>NTM</t>
  </si>
  <si>
    <t>SSS</t>
  </si>
  <si>
    <t>NCM</t>
  </si>
  <si>
    <t>Index</t>
  </si>
  <si>
    <t>Tidal Current direction</t>
  </si>
  <si>
    <t>Tidal current speed</t>
  </si>
  <si>
    <t>Wave Spectrum</t>
  </si>
  <si>
    <t>JONSWAP</t>
  </si>
  <si>
    <t>Gamma</t>
  </si>
  <si>
    <t>Project:</t>
  </si>
  <si>
    <t>IDEA-IRL</t>
  </si>
  <si>
    <t>Client:</t>
  </si>
  <si>
    <t>SEAI</t>
  </si>
  <si>
    <t>Document reference:</t>
  </si>
  <si>
    <t>Date:</t>
  </si>
  <si>
    <t>Worsheet</t>
  </si>
  <si>
    <t>Contents</t>
  </si>
  <si>
    <t>Revision History</t>
  </si>
  <si>
    <t>Revision</t>
  </si>
  <si>
    <t>Date</t>
  </si>
  <si>
    <t>Reason for Issue</t>
  </si>
  <si>
    <t>Originator</t>
  </si>
  <si>
    <t>Checker</t>
  </si>
  <si>
    <t>Approver</t>
  </si>
  <si>
    <t>00</t>
  </si>
  <si>
    <t>Issue for Information</t>
  </si>
  <si>
    <t>DF</t>
  </si>
  <si>
    <t>CW</t>
  </si>
  <si>
    <t>GB</t>
  </si>
  <si>
    <t>23017-VEN-FLO-EX-0015 Task 49 Intermediate water depth DLC1.6</t>
  </si>
  <si>
    <t>Task 49 Intermediate water depth
DLC 1.6
Load Case Table</t>
  </si>
  <si>
    <t>DLC 1.6</t>
  </si>
  <si>
    <t>Load case table covering DLC 1.6</t>
  </si>
  <si>
    <t>Water depth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</si>
</sst>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20"/>
      <name val="Arial"/>
      <family val="2"/>
    </font>
    <font>
      <b/>
      <sz val="10"/>
      <color theme="0"/>
      <name val="Arial"/>
      <family val="2"/>
    </font>
    <font>
      <sz val="12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4D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1" tint="0.499984740745262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45">
    <xf numFmtId="0" fontId="0" fillId="0" borderId="0" xfId="0"/>
    <xf numFmtId="0" fontId="2" fillId="0" borderId="1" xfId="1" applyFont="1" applyBorder="1" applyAlignment="1">
      <alignment horizontal="right" vertical="center"/>
    </xf>
    <xf numFmtId="0" fontId="1" fillId="0" borderId="2" xfId="1" applyBorder="1" applyAlignment="1">
      <alignment vertical="center"/>
    </xf>
    <xf numFmtId="0" fontId="3" fillId="0" borderId="3" xfId="1" applyFont="1" applyBorder="1" applyAlignment="1">
      <alignment vertical="center"/>
    </xf>
    <xf numFmtId="0" fontId="1" fillId="0" borderId="4" xfId="1" applyBorder="1"/>
    <xf numFmtId="0" fontId="1" fillId="0" borderId="0" xfId="1"/>
    <xf numFmtId="0" fontId="3" fillId="0" borderId="5" xfId="1" applyFont="1" applyBorder="1" applyAlignment="1">
      <alignment vertical="center"/>
    </xf>
    <xf numFmtId="14" fontId="3" fillId="0" borderId="6" xfId="1" applyNumberFormat="1" applyFont="1" applyBorder="1" applyAlignment="1">
      <alignment vertical="center"/>
    </xf>
    <xf numFmtId="0" fontId="1" fillId="0" borderId="7" xfId="1" applyBorder="1"/>
    <xf numFmtId="0" fontId="4" fillId="0" borderId="8" xfId="1" applyFont="1" applyBorder="1" applyAlignment="1">
      <alignment horizontal="center" vertical="center" wrapText="1"/>
    </xf>
    <xf numFmtId="0" fontId="1" fillId="0" borderId="4" xfId="1" applyBorder="1" applyAlignment="1">
      <alignment wrapText="1"/>
    </xf>
    <xf numFmtId="0" fontId="1" fillId="0" borderId="0" xfId="1" applyAlignment="1">
      <alignment wrapText="1"/>
    </xf>
    <xf numFmtId="0" fontId="1" fillId="0" borderId="7" xfId="1" applyBorder="1" applyAlignment="1">
      <alignment wrapText="1"/>
    </xf>
    <xf numFmtId="0" fontId="5" fillId="2" borderId="1" xfId="1" applyFont="1" applyFill="1" applyBorder="1" applyAlignment="1">
      <alignment horizontal="left" vertical="center"/>
    </xf>
    <xf numFmtId="0" fontId="1" fillId="0" borderId="2" xfId="1" applyBorder="1"/>
    <xf numFmtId="0" fontId="1" fillId="0" borderId="8" xfId="1" applyBorder="1"/>
    <xf numFmtId="0" fontId="3" fillId="0" borderId="1" xfId="1" applyFont="1" applyBorder="1" applyAlignment="1">
      <alignment horizontal="left" vertical="center"/>
    </xf>
    <xf numFmtId="0" fontId="6" fillId="3" borderId="5" xfId="1" applyFont="1" applyFill="1" applyBorder="1" applyAlignment="1">
      <alignment vertical="center"/>
    </xf>
    <xf numFmtId="0" fontId="5" fillId="2" borderId="1" xfId="1" applyFont="1" applyFill="1" applyBorder="1" applyAlignment="1">
      <alignment horizontal="center" vertical="center"/>
    </xf>
    <xf numFmtId="0" fontId="5" fillId="2" borderId="1" xfId="1" applyFont="1" applyFill="1" applyBorder="1" applyAlignment="1">
      <alignment horizontal="center" vertical="center"/>
    </xf>
    <xf numFmtId="0" fontId="3" fillId="0" borderId="1" xfId="1" quotePrefix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14" fontId="3" fillId="0" borderId="1" xfId="1" applyNumberFormat="1" applyFont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1" fillId="0" borderId="9" xfId="1" applyBorder="1" applyAlignment="1">
      <alignment vertical="center"/>
    </xf>
    <xf numFmtId="0" fontId="1" fillId="0" borderId="8" xfId="1" applyBorder="1" applyAlignment="1">
      <alignment vertical="center"/>
    </xf>
    <xf numFmtId="0" fontId="1" fillId="0" borderId="2" xfId="1" applyBorder="1" applyAlignment="1">
      <alignment vertical="center"/>
    </xf>
    <xf numFmtId="0" fontId="0" fillId="4" borderId="0" xfId="0" applyFill="1"/>
    <xf numFmtId="2" fontId="0" fillId="4" borderId="0" xfId="0" applyNumberFormat="1" applyFill="1"/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2" fontId="0" fillId="0" borderId="16" xfId="0" applyNumberFormat="1" applyBorder="1" applyAlignment="1">
      <alignment horizontal="center" vertical="center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5" fillId="2" borderId="10" xfId="1" applyFont="1" applyFill="1" applyBorder="1" applyAlignment="1">
      <alignment horizontal="center" vertical="center" wrapText="1"/>
    </xf>
    <xf numFmtId="0" fontId="5" fillId="2" borderId="11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0" fillId="4" borderId="0" xfId="0" applyFill="1" applyAlignment="1">
      <alignment wrapText="1"/>
    </xf>
  </cellXfs>
  <cellStyles count="2">
    <cellStyle name="Normal" xfId="0" builtinId="0"/>
    <cellStyle name="Normal 2" xfId="1" xr:uid="{54896A0E-70AF-45C7-8E0F-3816A86C5F6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315390</xdr:colOff>
      <xdr:row>4</xdr:row>
      <xdr:rowOff>172271</xdr:rowOff>
    </xdr:from>
    <xdr:ext cx="1789209" cy="524344"/>
    <xdr:pic>
      <xdr:nvPicPr>
        <xdr:cNvPr id="2" name="Picture 1">
          <a:extLst>
            <a:ext uri="{FF2B5EF4-FFF2-40B4-BE49-F238E27FC236}">
              <a16:creationId xmlns:a16="http://schemas.microsoft.com/office/drawing/2014/main" id="{D4AD684A-C254-4D0F-A9A2-3BED730E13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87930" y="835211"/>
          <a:ext cx="1789209" cy="524344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02240-B8C4-4259-9198-22D802036A2D}">
  <sheetPr codeName="Sheet2">
    <tabColor rgb="FF004D51"/>
  </sheetPr>
  <dimension ref="A1:H28"/>
  <sheetViews>
    <sheetView showGridLines="0" tabSelected="1" view="pageBreakPreview" zoomScale="115" zoomScaleNormal="100" zoomScaleSheetLayoutView="115" workbookViewId="0">
      <selection activeCell="A22" sqref="A22"/>
    </sheetView>
  </sheetViews>
  <sheetFormatPr defaultColWidth="8.88671875" defaultRowHeight="13.2" x14ac:dyDescent="0.25"/>
  <cols>
    <col min="1" max="1" width="8.88671875" style="5"/>
    <col min="2" max="2" width="9.6640625" style="5" bestFit="1" customWidth="1"/>
    <col min="3" max="3" width="8.6640625" style="5" customWidth="1"/>
    <col min="4" max="16384" width="8.88671875" style="5"/>
  </cols>
  <sheetData>
    <row r="1" spans="1:8" x14ac:dyDescent="0.25">
      <c r="A1" s="1" t="s">
        <v>24</v>
      </c>
      <c r="B1" s="2"/>
      <c r="C1" s="3" t="s">
        <v>25</v>
      </c>
      <c r="D1" s="4"/>
      <c r="E1" s="4"/>
      <c r="F1" s="4"/>
      <c r="G1" s="4"/>
      <c r="H1" s="4"/>
    </row>
    <row r="2" spans="1:8" x14ac:dyDescent="0.25">
      <c r="A2" s="1" t="s">
        <v>26</v>
      </c>
      <c r="B2" s="2"/>
      <c r="C2" s="6" t="s">
        <v>27</v>
      </c>
    </row>
    <row r="3" spans="1:8" x14ac:dyDescent="0.25">
      <c r="A3" s="1" t="s">
        <v>28</v>
      </c>
      <c r="B3" s="2"/>
      <c r="C3" s="6" t="s">
        <v>44</v>
      </c>
    </row>
    <row r="4" spans="1:8" x14ac:dyDescent="0.25">
      <c r="A4" s="1" t="s">
        <v>29</v>
      </c>
      <c r="B4" s="2"/>
      <c r="C4" s="7">
        <v>46094</v>
      </c>
      <c r="D4" s="8"/>
      <c r="E4" s="8"/>
      <c r="F4" s="8"/>
      <c r="G4" s="8"/>
      <c r="H4" s="8"/>
    </row>
    <row r="5" spans="1:8" x14ac:dyDescent="0.25">
      <c r="A5" s="9" t="s">
        <v>45</v>
      </c>
      <c r="B5" s="10"/>
      <c r="C5" s="10"/>
      <c r="D5" s="10"/>
      <c r="E5" s="10"/>
      <c r="F5" s="10"/>
      <c r="G5" s="10"/>
      <c r="H5" s="10"/>
    </row>
    <row r="6" spans="1:8" x14ac:dyDescent="0.25">
      <c r="A6" s="11"/>
      <c r="B6" s="11"/>
      <c r="C6" s="11"/>
      <c r="D6" s="11"/>
      <c r="E6" s="11"/>
      <c r="F6" s="11"/>
      <c r="G6" s="11"/>
      <c r="H6" s="11"/>
    </row>
    <row r="7" spans="1:8" x14ac:dyDescent="0.25">
      <c r="A7" s="11"/>
      <c r="B7" s="11"/>
      <c r="C7" s="11"/>
      <c r="D7" s="11"/>
      <c r="E7" s="11"/>
      <c r="F7" s="11"/>
      <c r="G7" s="11"/>
      <c r="H7" s="11"/>
    </row>
    <row r="8" spans="1:8" x14ac:dyDescent="0.25">
      <c r="A8" s="11"/>
      <c r="B8" s="11"/>
      <c r="C8" s="11"/>
      <c r="D8" s="11"/>
      <c r="E8" s="11"/>
      <c r="F8" s="11"/>
      <c r="G8" s="11"/>
      <c r="H8" s="11"/>
    </row>
    <row r="9" spans="1:8" x14ac:dyDescent="0.25">
      <c r="A9" s="11"/>
      <c r="B9" s="11"/>
      <c r="C9" s="11"/>
      <c r="D9" s="11"/>
      <c r="E9" s="11"/>
      <c r="F9" s="11"/>
      <c r="G9" s="11"/>
      <c r="H9" s="11"/>
    </row>
    <row r="10" spans="1:8" x14ac:dyDescent="0.25">
      <c r="A10" s="11"/>
      <c r="B10" s="11"/>
      <c r="C10" s="11"/>
      <c r="D10" s="11"/>
      <c r="E10" s="11"/>
      <c r="F10" s="11"/>
      <c r="G10" s="11"/>
      <c r="H10" s="11"/>
    </row>
    <row r="11" spans="1:8" x14ac:dyDescent="0.25">
      <c r="A11" s="11"/>
      <c r="B11" s="11"/>
      <c r="C11" s="11"/>
      <c r="D11" s="11"/>
      <c r="E11" s="11"/>
      <c r="F11" s="11"/>
      <c r="G11" s="11"/>
      <c r="H11" s="11"/>
    </row>
    <row r="12" spans="1:8" x14ac:dyDescent="0.25">
      <c r="A12" s="11"/>
      <c r="B12" s="11"/>
      <c r="C12" s="11"/>
      <c r="D12" s="11"/>
      <c r="E12" s="11"/>
      <c r="F12" s="11"/>
      <c r="G12" s="11"/>
      <c r="H12" s="11"/>
    </row>
    <row r="13" spans="1:8" x14ac:dyDescent="0.25">
      <c r="A13" s="11"/>
      <c r="B13" s="11"/>
      <c r="C13" s="11"/>
      <c r="D13" s="11"/>
      <c r="E13" s="11"/>
      <c r="F13" s="11"/>
      <c r="G13" s="11"/>
      <c r="H13" s="11"/>
    </row>
    <row r="14" spans="1:8" x14ac:dyDescent="0.25">
      <c r="A14" s="11"/>
      <c r="B14" s="11"/>
      <c r="C14" s="11"/>
      <c r="D14" s="11"/>
      <c r="E14" s="11"/>
      <c r="F14" s="11"/>
      <c r="G14" s="11"/>
      <c r="H14" s="11"/>
    </row>
    <row r="15" spans="1:8" x14ac:dyDescent="0.25">
      <c r="A15" s="11"/>
      <c r="B15" s="11"/>
      <c r="C15" s="11"/>
      <c r="D15" s="11"/>
      <c r="E15" s="11"/>
      <c r="F15" s="11"/>
      <c r="G15" s="11"/>
      <c r="H15" s="11"/>
    </row>
    <row r="16" spans="1:8" x14ac:dyDescent="0.25">
      <c r="A16" s="11"/>
      <c r="B16" s="11"/>
      <c r="C16" s="11"/>
      <c r="D16" s="11"/>
      <c r="E16" s="11"/>
      <c r="F16" s="11"/>
      <c r="G16" s="11"/>
      <c r="H16" s="11"/>
    </row>
    <row r="17" spans="1:8" x14ac:dyDescent="0.25">
      <c r="A17" s="12"/>
      <c r="B17" s="12"/>
      <c r="C17" s="12"/>
      <c r="D17" s="12"/>
      <c r="E17" s="12"/>
      <c r="F17" s="12"/>
      <c r="G17" s="12"/>
      <c r="H17" s="12"/>
    </row>
    <row r="18" spans="1:8" ht="13.2" customHeight="1" x14ac:dyDescent="0.25">
      <c r="A18" s="13" t="s">
        <v>30</v>
      </c>
      <c r="B18" s="14"/>
      <c r="C18" s="13" t="s">
        <v>31</v>
      </c>
      <c r="D18" s="15"/>
      <c r="E18" s="15"/>
      <c r="F18" s="15"/>
      <c r="G18" s="15"/>
      <c r="H18" s="15"/>
    </row>
    <row r="19" spans="1:8" x14ac:dyDescent="0.25">
      <c r="A19" s="16" t="s">
        <v>46</v>
      </c>
      <c r="B19" s="14"/>
      <c r="C19" s="16" t="s">
        <v>47</v>
      </c>
      <c r="D19" s="15"/>
      <c r="E19" s="15"/>
      <c r="F19" s="15"/>
      <c r="G19" s="15"/>
      <c r="H19" s="15"/>
    </row>
    <row r="20" spans="1:8" ht="15.6" customHeight="1" x14ac:dyDescent="0.25">
      <c r="A20" s="17"/>
    </row>
    <row r="21" spans="1:8" ht="13.2" customHeight="1" x14ac:dyDescent="0.25">
      <c r="A21" s="18" t="s">
        <v>32</v>
      </c>
      <c r="B21" s="15"/>
      <c r="C21" s="15"/>
      <c r="D21" s="15"/>
      <c r="E21" s="15"/>
      <c r="F21" s="15"/>
      <c r="G21" s="15"/>
      <c r="H21" s="15"/>
    </row>
    <row r="22" spans="1:8" ht="13.2" customHeight="1" x14ac:dyDescent="0.25">
      <c r="A22" s="19" t="s">
        <v>33</v>
      </c>
      <c r="B22" s="19" t="s">
        <v>34</v>
      </c>
      <c r="C22" s="18" t="s">
        <v>35</v>
      </c>
      <c r="D22" s="15"/>
      <c r="E22" s="14"/>
      <c r="F22" s="19" t="s">
        <v>36</v>
      </c>
      <c r="G22" s="19" t="s">
        <v>37</v>
      </c>
      <c r="H22" s="19" t="s">
        <v>38</v>
      </c>
    </row>
    <row r="23" spans="1:8" x14ac:dyDescent="0.25">
      <c r="A23" s="20" t="s">
        <v>39</v>
      </c>
      <c r="B23" s="7">
        <v>46094</v>
      </c>
      <c r="C23" s="21" t="s">
        <v>40</v>
      </c>
      <c r="D23" s="15"/>
      <c r="E23" s="14"/>
      <c r="F23" s="22" t="s">
        <v>41</v>
      </c>
      <c r="G23" s="22" t="s">
        <v>42</v>
      </c>
      <c r="H23" s="22" t="s">
        <v>43</v>
      </c>
    </row>
    <row r="24" spans="1:8" x14ac:dyDescent="0.25">
      <c r="A24" s="20"/>
      <c r="B24" s="23"/>
      <c r="C24" s="21"/>
      <c r="D24" s="15"/>
      <c r="E24" s="14"/>
      <c r="F24" s="22"/>
      <c r="G24" s="22"/>
      <c r="H24" s="22"/>
    </row>
    <row r="25" spans="1:8" x14ac:dyDescent="0.25">
      <c r="A25" s="24"/>
      <c r="B25" s="24"/>
      <c r="C25" s="25"/>
      <c r="D25" s="15"/>
      <c r="E25" s="14"/>
      <c r="F25" s="24"/>
      <c r="G25" s="24"/>
      <c r="H25" s="24"/>
    </row>
    <row r="26" spans="1:8" x14ac:dyDescent="0.25">
      <c r="A26" s="24"/>
      <c r="B26" s="24"/>
      <c r="C26" s="26"/>
      <c r="D26" s="27"/>
      <c r="E26" s="28"/>
      <c r="F26" s="24"/>
      <c r="G26" s="24"/>
      <c r="H26" s="24"/>
    </row>
    <row r="27" spans="1:8" x14ac:dyDescent="0.25">
      <c r="A27" s="24"/>
      <c r="B27" s="24"/>
      <c r="C27" s="25"/>
      <c r="D27" s="15"/>
      <c r="E27" s="14"/>
      <c r="F27" s="24"/>
      <c r="G27" s="24"/>
      <c r="H27" s="24"/>
    </row>
    <row r="28" spans="1:8" x14ac:dyDescent="0.25">
      <c r="A28" s="24"/>
      <c r="B28" s="24"/>
      <c r="C28" s="25"/>
      <c r="D28" s="15"/>
      <c r="E28" s="14"/>
      <c r="F28" s="24"/>
      <c r="G28" s="24"/>
      <c r="H28" s="24"/>
    </row>
  </sheetData>
  <mergeCells count="16">
    <mergeCell ref="C25:E25"/>
    <mergeCell ref="C27:E27"/>
    <mergeCell ref="C28:E28"/>
    <mergeCell ref="A19:B19"/>
    <mergeCell ref="C19:H19"/>
    <mergeCell ref="A21:H21"/>
    <mergeCell ref="C22:E22"/>
    <mergeCell ref="C23:E23"/>
    <mergeCell ref="C24:E24"/>
    <mergeCell ref="A1:B1"/>
    <mergeCell ref="A2:B2"/>
    <mergeCell ref="A3:B3"/>
    <mergeCell ref="A4:B4"/>
    <mergeCell ref="A5:H17"/>
    <mergeCell ref="A18:B18"/>
    <mergeCell ref="C18:H18"/>
  </mergeCells>
  <pageMargins left="0.7" right="0.7" top="0.75" bottom="0.75" header="0.3" footer="0.3"/>
  <pageSetup paperSize="9"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T14"/>
  <sheetViews>
    <sheetView topLeftCell="L1" workbookViewId="0">
      <selection activeCell="P2" sqref="P2"/>
    </sheetView>
  </sheetViews>
  <sheetFormatPr defaultRowHeight="14.4" x14ac:dyDescent="0.3"/>
  <cols>
    <col min="1" max="20" width="19.44140625" style="29" customWidth="1"/>
    <col min="21" max="16384" width="8.88671875" style="29"/>
  </cols>
  <sheetData>
    <row r="1" spans="1:20" s="44" customFormat="1" ht="39.6" x14ac:dyDescent="0.3">
      <c r="A1" s="41" t="s">
        <v>18</v>
      </c>
      <c r="B1" s="42" t="s">
        <v>0</v>
      </c>
      <c r="C1" s="42" t="s">
        <v>1</v>
      </c>
      <c r="D1" s="42" t="s">
        <v>2</v>
      </c>
      <c r="E1" s="42" t="s">
        <v>3</v>
      </c>
      <c r="F1" s="42" t="s">
        <v>4</v>
      </c>
      <c r="G1" s="42" t="s">
        <v>5</v>
      </c>
      <c r="H1" s="42" t="s">
        <v>6</v>
      </c>
      <c r="I1" s="42" t="s">
        <v>7</v>
      </c>
      <c r="J1" s="42" t="s">
        <v>8</v>
      </c>
      <c r="K1" s="42" t="s">
        <v>9</v>
      </c>
      <c r="L1" s="42" t="s">
        <v>11</v>
      </c>
      <c r="M1" s="42" t="s">
        <v>21</v>
      </c>
      <c r="N1" s="42" t="s">
        <v>10</v>
      </c>
      <c r="O1" s="42" t="s">
        <v>23</v>
      </c>
      <c r="P1" s="42" t="s">
        <v>48</v>
      </c>
      <c r="Q1" s="42" t="s">
        <v>12</v>
      </c>
      <c r="R1" s="42" t="s">
        <v>13</v>
      </c>
      <c r="S1" s="42" t="s">
        <v>20</v>
      </c>
      <c r="T1" s="43" t="s">
        <v>19</v>
      </c>
    </row>
    <row r="2" spans="1:20" x14ac:dyDescent="0.3">
      <c r="A2" s="34">
        <v>0</v>
      </c>
      <c r="B2" s="31" t="s">
        <v>14</v>
      </c>
      <c r="C2" s="31" t="s">
        <v>15</v>
      </c>
      <c r="D2" s="31">
        <v>10.59</v>
      </c>
      <c r="E2" s="31">
        <v>6</v>
      </c>
      <c r="F2" s="31">
        <v>1</v>
      </c>
      <c r="G2" s="31">
        <v>270</v>
      </c>
      <c r="H2" s="31">
        <v>0</v>
      </c>
      <c r="I2" s="31" t="s">
        <v>16</v>
      </c>
      <c r="J2" s="31">
        <v>8.32</v>
      </c>
      <c r="K2" s="31">
        <v>12.75</v>
      </c>
      <c r="L2" s="31">
        <v>270</v>
      </c>
      <c r="M2" s="31" t="s">
        <v>22</v>
      </c>
      <c r="N2" s="31">
        <v>164992962</v>
      </c>
      <c r="O2" s="32">
        <v>1.94778481205905</v>
      </c>
      <c r="P2" s="31">
        <v>300</v>
      </c>
      <c r="Q2" s="31">
        <v>4200</v>
      </c>
      <c r="R2" s="31" t="s">
        <v>17</v>
      </c>
      <c r="S2" s="33">
        <v>1.3</v>
      </c>
      <c r="T2" s="35">
        <f>G2-180</f>
        <v>90</v>
      </c>
    </row>
    <row r="3" spans="1:20" x14ac:dyDescent="0.3">
      <c r="A3" s="34">
        <v>1</v>
      </c>
      <c r="B3" s="31" t="s">
        <v>14</v>
      </c>
      <c r="C3" s="31" t="s">
        <v>15</v>
      </c>
      <c r="D3" s="31">
        <v>10.59</v>
      </c>
      <c r="E3" s="31">
        <v>6</v>
      </c>
      <c r="F3" s="31">
        <v>13</v>
      </c>
      <c r="G3" s="31">
        <v>270</v>
      </c>
      <c r="H3" s="31">
        <v>0</v>
      </c>
      <c r="I3" s="31" t="s">
        <v>16</v>
      </c>
      <c r="J3" s="31">
        <v>8.32</v>
      </c>
      <c r="K3" s="31">
        <v>12.75</v>
      </c>
      <c r="L3" s="31">
        <v>270</v>
      </c>
      <c r="M3" s="31" t="s">
        <v>22</v>
      </c>
      <c r="N3" s="31">
        <v>164509525</v>
      </c>
      <c r="O3" s="32">
        <v>1.94778481205905</v>
      </c>
      <c r="P3" s="31">
        <v>300</v>
      </c>
      <c r="Q3" s="31">
        <v>4200</v>
      </c>
      <c r="R3" s="31" t="s">
        <v>17</v>
      </c>
      <c r="S3" s="33">
        <v>1.3</v>
      </c>
      <c r="T3" s="35">
        <f t="shared" ref="T3:T13" si="0">G3-180</f>
        <v>90</v>
      </c>
    </row>
    <row r="4" spans="1:20" x14ac:dyDescent="0.3">
      <c r="A4" s="34">
        <v>2</v>
      </c>
      <c r="B4" s="31" t="s">
        <v>14</v>
      </c>
      <c r="C4" s="31" t="s">
        <v>15</v>
      </c>
      <c r="D4" s="31">
        <v>10.59</v>
      </c>
      <c r="E4" s="31">
        <v>6</v>
      </c>
      <c r="F4" s="31">
        <v>25</v>
      </c>
      <c r="G4" s="31">
        <v>270</v>
      </c>
      <c r="H4" s="31">
        <v>0</v>
      </c>
      <c r="I4" s="31" t="s">
        <v>16</v>
      </c>
      <c r="J4" s="31">
        <v>8.32</v>
      </c>
      <c r="K4" s="31">
        <v>12.75</v>
      </c>
      <c r="L4" s="31">
        <v>270</v>
      </c>
      <c r="M4" s="31" t="s">
        <v>22</v>
      </c>
      <c r="N4" s="31">
        <v>195402040</v>
      </c>
      <c r="O4" s="32">
        <v>1.94778481205905</v>
      </c>
      <c r="P4" s="31">
        <v>300</v>
      </c>
      <c r="Q4" s="31">
        <v>4200</v>
      </c>
      <c r="R4" s="31" t="s">
        <v>17</v>
      </c>
      <c r="S4" s="33">
        <v>1.3</v>
      </c>
      <c r="T4" s="35">
        <f t="shared" si="0"/>
        <v>90</v>
      </c>
    </row>
    <row r="5" spans="1:20" x14ac:dyDescent="0.3">
      <c r="A5" s="34">
        <v>3</v>
      </c>
      <c r="B5" s="31" t="s">
        <v>14</v>
      </c>
      <c r="C5" s="31" t="s">
        <v>15</v>
      </c>
      <c r="D5" s="31">
        <v>10.59</v>
      </c>
      <c r="E5" s="31">
        <v>6</v>
      </c>
      <c r="F5" s="31">
        <v>37</v>
      </c>
      <c r="G5" s="31">
        <v>270</v>
      </c>
      <c r="H5" s="31">
        <v>0</v>
      </c>
      <c r="I5" s="31" t="s">
        <v>16</v>
      </c>
      <c r="J5" s="31">
        <v>8.32</v>
      </c>
      <c r="K5" s="31">
        <v>12.75</v>
      </c>
      <c r="L5" s="31">
        <v>270</v>
      </c>
      <c r="M5" s="31" t="s">
        <v>22</v>
      </c>
      <c r="N5" s="31">
        <v>31135164</v>
      </c>
      <c r="O5" s="32">
        <v>1.94778481205905</v>
      </c>
      <c r="P5" s="31">
        <v>300</v>
      </c>
      <c r="Q5" s="31">
        <v>4200</v>
      </c>
      <c r="R5" s="31" t="s">
        <v>17</v>
      </c>
      <c r="S5" s="33">
        <v>1.3</v>
      </c>
      <c r="T5" s="35">
        <f t="shared" si="0"/>
        <v>90</v>
      </c>
    </row>
    <row r="6" spans="1:20" x14ac:dyDescent="0.3">
      <c r="A6" s="34">
        <v>4</v>
      </c>
      <c r="B6" s="31" t="s">
        <v>14</v>
      </c>
      <c r="C6" s="31" t="s">
        <v>15</v>
      </c>
      <c r="D6" s="31">
        <v>10.59</v>
      </c>
      <c r="E6" s="31">
        <v>6</v>
      </c>
      <c r="F6" s="31">
        <v>49</v>
      </c>
      <c r="G6" s="31">
        <v>270</v>
      </c>
      <c r="H6" s="31">
        <v>0</v>
      </c>
      <c r="I6" s="31" t="s">
        <v>16</v>
      </c>
      <c r="J6" s="31">
        <v>8.32</v>
      </c>
      <c r="K6" s="31">
        <v>12.75</v>
      </c>
      <c r="L6" s="31">
        <v>270</v>
      </c>
      <c r="M6" s="31" t="s">
        <v>22</v>
      </c>
      <c r="N6" s="31">
        <v>190062836</v>
      </c>
      <c r="O6" s="32">
        <v>1.94778481205905</v>
      </c>
      <c r="P6" s="31">
        <v>300</v>
      </c>
      <c r="Q6" s="31">
        <v>4200</v>
      </c>
      <c r="R6" s="31" t="s">
        <v>17</v>
      </c>
      <c r="S6" s="33">
        <v>1.3</v>
      </c>
      <c r="T6" s="35">
        <f t="shared" si="0"/>
        <v>90</v>
      </c>
    </row>
    <row r="7" spans="1:20" x14ac:dyDescent="0.3">
      <c r="A7" s="34">
        <v>5</v>
      </c>
      <c r="B7" s="31" t="s">
        <v>14</v>
      </c>
      <c r="C7" s="31" t="s">
        <v>15</v>
      </c>
      <c r="D7" s="31">
        <v>10.59</v>
      </c>
      <c r="E7" s="31">
        <v>6</v>
      </c>
      <c r="F7" s="31">
        <v>61</v>
      </c>
      <c r="G7" s="31">
        <v>270</v>
      </c>
      <c r="H7" s="31">
        <v>0</v>
      </c>
      <c r="I7" s="31" t="s">
        <v>16</v>
      </c>
      <c r="J7" s="31">
        <v>8.32</v>
      </c>
      <c r="K7" s="31">
        <v>12.75</v>
      </c>
      <c r="L7" s="31">
        <v>270</v>
      </c>
      <c r="M7" s="31" t="s">
        <v>22</v>
      </c>
      <c r="N7" s="31">
        <v>79785277</v>
      </c>
      <c r="O7" s="32">
        <v>1.94778481205905</v>
      </c>
      <c r="P7" s="31">
        <v>300</v>
      </c>
      <c r="Q7" s="31">
        <v>4200</v>
      </c>
      <c r="R7" s="31" t="s">
        <v>17</v>
      </c>
      <c r="S7" s="33">
        <v>1.3</v>
      </c>
      <c r="T7" s="35">
        <f t="shared" si="0"/>
        <v>90</v>
      </c>
    </row>
    <row r="8" spans="1:20" x14ac:dyDescent="0.3">
      <c r="A8" s="34">
        <v>6</v>
      </c>
      <c r="B8" s="31" t="s">
        <v>14</v>
      </c>
      <c r="C8" s="31" t="s">
        <v>15</v>
      </c>
      <c r="D8" s="31">
        <v>10.59</v>
      </c>
      <c r="E8" s="31">
        <v>6</v>
      </c>
      <c r="F8" s="31">
        <v>1</v>
      </c>
      <c r="G8" s="31">
        <v>90</v>
      </c>
      <c r="H8" s="31">
        <v>0</v>
      </c>
      <c r="I8" s="31" t="s">
        <v>16</v>
      </c>
      <c r="J8" s="31">
        <v>8.32</v>
      </c>
      <c r="K8" s="31">
        <v>12.75</v>
      </c>
      <c r="L8" s="31">
        <v>90</v>
      </c>
      <c r="M8" s="31" t="s">
        <v>22</v>
      </c>
      <c r="N8" s="31">
        <v>50383325</v>
      </c>
      <c r="O8" s="32">
        <v>1.94778481205905</v>
      </c>
      <c r="P8" s="31">
        <v>300</v>
      </c>
      <c r="Q8" s="31">
        <v>4200</v>
      </c>
      <c r="R8" s="31" t="s">
        <v>17</v>
      </c>
      <c r="S8" s="33">
        <v>1.3</v>
      </c>
      <c r="T8" s="35">
        <f t="shared" si="0"/>
        <v>-90</v>
      </c>
    </row>
    <row r="9" spans="1:20" x14ac:dyDescent="0.3">
      <c r="A9" s="34">
        <v>7</v>
      </c>
      <c r="B9" s="31" t="s">
        <v>14</v>
      </c>
      <c r="C9" s="31" t="s">
        <v>15</v>
      </c>
      <c r="D9" s="31">
        <v>10.59</v>
      </c>
      <c r="E9" s="31">
        <v>6</v>
      </c>
      <c r="F9" s="31">
        <v>13</v>
      </c>
      <c r="G9" s="31">
        <v>90</v>
      </c>
      <c r="H9" s="31">
        <v>0</v>
      </c>
      <c r="I9" s="31" t="s">
        <v>16</v>
      </c>
      <c r="J9" s="31">
        <v>8.32</v>
      </c>
      <c r="K9" s="31">
        <v>12.75</v>
      </c>
      <c r="L9" s="31">
        <v>90</v>
      </c>
      <c r="M9" s="31" t="s">
        <v>22</v>
      </c>
      <c r="N9" s="31">
        <v>22180909</v>
      </c>
      <c r="O9" s="32">
        <v>1.94778481205905</v>
      </c>
      <c r="P9" s="31">
        <v>300</v>
      </c>
      <c r="Q9" s="31">
        <v>4200</v>
      </c>
      <c r="R9" s="31" t="s">
        <v>17</v>
      </c>
      <c r="S9" s="33">
        <v>1.3</v>
      </c>
      <c r="T9" s="35">
        <f t="shared" si="0"/>
        <v>-90</v>
      </c>
    </row>
    <row r="10" spans="1:20" x14ac:dyDescent="0.3">
      <c r="A10" s="34">
        <v>8</v>
      </c>
      <c r="B10" s="31" t="s">
        <v>14</v>
      </c>
      <c r="C10" s="31" t="s">
        <v>15</v>
      </c>
      <c r="D10" s="31">
        <v>10.59</v>
      </c>
      <c r="E10" s="31">
        <v>6</v>
      </c>
      <c r="F10" s="31">
        <v>25</v>
      </c>
      <c r="G10" s="31">
        <v>90</v>
      </c>
      <c r="H10" s="31">
        <v>0</v>
      </c>
      <c r="I10" s="31" t="s">
        <v>16</v>
      </c>
      <c r="J10" s="31">
        <v>8.32</v>
      </c>
      <c r="K10" s="31">
        <v>12.75</v>
      </c>
      <c r="L10" s="31">
        <v>90</v>
      </c>
      <c r="M10" s="31" t="s">
        <v>22</v>
      </c>
      <c r="N10" s="31">
        <v>183029251</v>
      </c>
      <c r="O10" s="32">
        <v>1.94778481205905</v>
      </c>
      <c r="P10" s="31">
        <v>300</v>
      </c>
      <c r="Q10" s="31">
        <v>4200</v>
      </c>
      <c r="R10" s="31" t="s">
        <v>17</v>
      </c>
      <c r="S10" s="33">
        <v>1.3</v>
      </c>
      <c r="T10" s="35">
        <f t="shared" si="0"/>
        <v>-90</v>
      </c>
    </row>
    <row r="11" spans="1:20" x14ac:dyDescent="0.3">
      <c r="A11" s="34">
        <v>9</v>
      </c>
      <c r="B11" s="31" t="s">
        <v>14</v>
      </c>
      <c r="C11" s="31" t="s">
        <v>15</v>
      </c>
      <c r="D11" s="31">
        <v>10.59</v>
      </c>
      <c r="E11" s="31">
        <v>6</v>
      </c>
      <c r="F11" s="31">
        <v>37</v>
      </c>
      <c r="G11" s="31">
        <v>90</v>
      </c>
      <c r="H11" s="31">
        <v>0</v>
      </c>
      <c r="I11" s="31" t="s">
        <v>16</v>
      </c>
      <c r="J11" s="31">
        <v>8.32</v>
      </c>
      <c r="K11" s="31">
        <v>12.75</v>
      </c>
      <c r="L11" s="31">
        <v>90</v>
      </c>
      <c r="M11" s="31" t="s">
        <v>22</v>
      </c>
      <c r="N11" s="31">
        <v>180316068</v>
      </c>
      <c r="O11" s="32">
        <v>1.94778481205905</v>
      </c>
      <c r="P11" s="31">
        <v>300</v>
      </c>
      <c r="Q11" s="31">
        <v>4200</v>
      </c>
      <c r="R11" s="31" t="s">
        <v>17</v>
      </c>
      <c r="S11" s="33">
        <v>1.3</v>
      </c>
      <c r="T11" s="35">
        <f t="shared" si="0"/>
        <v>-90</v>
      </c>
    </row>
    <row r="12" spans="1:20" x14ac:dyDescent="0.3">
      <c r="A12" s="34">
        <v>10</v>
      </c>
      <c r="B12" s="31" t="s">
        <v>14</v>
      </c>
      <c r="C12" s="31" t="s">
        <v>15</v>
      </c>
      <c r="D12" s="31">
        <v>10.59</v>
      </c>
      <c r="E12" s="31">
        <v>6</v>
      </c>
      <c r="F12" s="31">
        <v>49</v>
      </c>
      <c r="G12" s="31">
        <v>90</v>
      </c>
      <c r="H12" s="31">
        <v>0</v>
      </c>
      <c r="I12" s="31" t="s">
        <v>16</v>
      </c>
      <c r="J12" s="31">
        <v>8.32</v>
      </c>
      <c r="K12" s="31">
        <v>12.75</v>
      </c>
      <c r="L12" s="31">
        <v>90</v>
      </c>
      <c r="M12" s="31" t="s">
        <v>22</v>
      </c>
      <c r="N12" s="31">
        <v>193685469</v>
      </c>
      <c r="O12" s="32">
        <v>1.94778481205905</v>
      </c>
      <c r="P12" s="31">
        <v>300</v>
      </c>
      <c r="Q12" s="31">
        <v>4200</v>
      </c>
      <c r="R12" s="31" t="s">
        <v>17</v>
      </c>
      <c r="S12" s="33">
        <v>1.3</v>
      </c>
      <c r="T12" s="35">
        <f t="shared" si="0"/>
        <v>-90</v>
      </c>
    </row>
    <row r="13" spans="1:20" ht="15" thickBot="1" x14ac:dyDescent="0.35">
      <c r="A13" s="36">
        <v>11</v>
      </c>
      <c r="B13" s="37" t="s">
        <v>14</v>
      </c>
      <c r="C13" s="37" t="s">
        <v>15</v>
      </c>
      <c r="D13" s="37">
        <v>10.59</v>
      </c>
      <c r="E13" s="37">
        <v>6</v>
      </c>
      <c r="F13" s="37">
        <v>61</v>
      </c>
      <c r="G13" s="37">
        <v>90</v>
      </c>
      <c r="H13" s="37">
        <v>0</v>
      </c>
      <c r="I13" s="37" t="s">
        <v>16</v>
      </c>
      <c r="J13" s="37">
        <v>8.32</v>
      </c>
      <c r="K13" s="37">
        <v>12.75</v>
      </c>
      <c r="L13" s="37">
        <v>90</v>
      </c>
      <c r="M13" s="37" t="s">
        <v>22</v>
      </c>
      <c r="N13" s="31">
        <v>147579457</v>
      </c>
      <c r="O13" s="38">
        <v>1.94778481205905</v>
      </c>
      <c r="P13" s="37">
        <v>300</v>
      </c>
      <c r="Q13" s="37">
        <v>4200</v>
      </c>
      <c r="R13" s="37" t="s">
        <v>17</v>
      </c>
      <c r="S13" s="39">
        <v>1.3</v>
      </c>
      <c r="T13" s="40">
        <f t="shared" si="0"/>
        <v>-90</v>
      </c>
    </row>
    <row r="14" spans="1:20" x14ac:dyDescent="0.3">
      <c r="O14" s="30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 xmlns="51a4b9f5-2f3d-4552-a3dc-cf3a5c0a82da" xsi:nil="true"/>
    <Document_x0020_ID xmlns="51a4b9f5-2f3d-4552-a3dc-cf3a5c0a82da" xsi:nil="true"/>
    <_Version xmlns="http://schemas.microsoft.com/sharepoint/v3/fields">0</_Version>
    <ProjectName xmlns="51a4b9f5-2f3d-4552-a3dc-cf3a5c0a82da" xsi:nil="true"/>
    <_Status xmlns="http://schemas.microsoft.com/sharepoint/v3/fields">Not Started</_Status>
    <ProposalStatus xmlns="51a4b9f5-2f3d-4552-a3dc-cf3a5c0a82da" xsi:nil="true"/>
    <TaxCatchAll xmlns="52a45be4-503f-41bc-b2ae-9c613274fa55" xsi:nil="true"/>
    <_Revision xmlns="http://schemas.microsoft.com/sharepoint/v3/fields" xsi:nil="true"/>
    <Note xmlns="51a4b9f5-2f3d-4552-a3dc-cf3a5c0a82da" xsi:nil="true"/>
    <ol_Department xmlns="http://schemas.microsoft.com/sharepoint/v3">Design Service Line</ol_Department>
    <lcf76f155ced4ddcb4097134ff3c332f xmlns="51a4b9f5-2f3d-4552-a3dc-cf3a5c0a82d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95A44026FF1049AAA555456DD3CC36" ma:contentTypeVersion="24" ma:contentTypeDescription="Create a new document." ma:contentTypeScope="" ma:versionID="91c7372e526dcb60068627c961f42500">
  <xsd:schema xmlns:xsd="http://www.w3.org/2001/XMLSchema" xmlns:xs="http://www.w3.org/2001/XMLSchema" xmlns:p="http://schemas.microsoft.com/office/2006/metadata/properties" xmlns:ns1="http://schemas.microsoft.com/sharepoint/v3" xmlns:ns2="51a4b9f5-2f3d-4552-a3dc-cf3a5c0a82da" xmlns:ns3="52a45be4-503f-41bc-b2ae-9c613274fa55" xmlns:ns4="http://schemas.microsoft.com/sharepoint/v3/fields" targetNamespace="http://schemas.microsoft.com/office/2006/metadata/properties" ma:root="true" ma:fieldsID="71e183c8e7ffd71c37f28578e901d8f4" ns1:_="" ns2:_="" ns3:_="" ns4:_="">
    <xsd:import namespace="http://schemas.microsoft.com/sharepoint/v3"/>
    <xsd:import namespace="51a4b9f5-2f3d-4552-a3dc-cf3a5c0a82da"/>
    <xsd:import namespace="52a45be4-503f-41bc-b2ae-9c613274fa55"/>
    <xsd:import namespace="http://schemas.microsoft.com/sharepoint/v3/fields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Document_x0020_ID" minOccurs="0"/>
                <xsd:element ref="ns4:_Version" minOccurs="0"/>
                <xsd:element ref="ns1:ol_Department" minOccurs="0"/>
                <xsd:element ref="ns4:_Revision" minOccurs="0"/>
                <xsd:element ref="ns4:_Status" minOccurs="0"/>
                <xsd:element ref="ns2:MediaLengthInSeconds" minOccurs="0"/>
                <xsd:element ref="ns2:Date" minOccurs="0"/>
                <xsd:element ref="ns2:MediaServiceBillingMetadata" minOccurs="0"/>
                <xsd:element ref="ns2:ProposalStatus" minOccurs="0"/>
                <xsd:element ref="ns2:ProjectName" minOccurs="0"/>
                <xsd:element ref="ns2:No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ol_Department" ma:index="23" nillable="true" ma:displayName="Department" ma:internalName="ol_Department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a4b9f5-2f3d-4552-a3dc-cf3a5c0a82da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379f9190-c303-4c25-82de-7178e9e916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Document_x0020_ID" ma:index="20" nillable="true" ma:displayName="Document ID" ma:internalName="Document_x0020_ID">
      <xsd:simpleType>
        <xsd:restriction base="dms:Text">
          <xsd:maxLength value="255"/>
        </xsd:restriction>
      </xsd:simpleType>
    </xsd:element>
    <xsd:element name="MediaLengthInSeconds" ma:index="26" nillable="true" ma:displayName="MediaLengthInSeconds" ma:hidden="true" ma:internalName="MediaLengthInSeconds" ma:readOnly="true">
      <xsd:simpleType>
        <xsd:restriction base="dms:Unknown"/>
      </xsd:simpleType>
    </xsd:element>
    <xsd:element name="Date" ma:index="27" nillable="true" ma:displayName="Date" ma:format="DateTime" ma:internalName="Date">
      <xsd:simpleType>
        <xsd:restriction base="dms:DateTim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  <xsd:element name="ProposalStatus" ma:index="29" nillable="true" ma:displayName="Proposal Status" ma:format="RadioButtons" ma:internalName="ProposalStatus">
      <xsd:simpleType>
        <xsd:restriction base="dms:Choice">
          <xsd:enumeration value="Closed - Won"/>
          <xsd:enumeration value="Closed - Lost"/>
          <xsd:enumeration value="Proposal / Prequal Issued"/>
          <xsd:enumeration value="Revisions &amp; Negotiations"/>
          <xsd:enumeration value="Proposal / Prequal Creation"/>
          <xsd:enumeration value="Closed - Declined"/>
          <xsd:enumeration value="Prospect"/>
          <xsd:enumeration value="Working at Risk"/>
          <xsd:enumeration value="Eoin"/>
          <xsd:enumeration value="Work in Progress"/>
        </xsd:restriction>
      </xsd:simpleType>
    </xsd:element>
    <xsd:element name="ProjectName" ma:index="30" nillable="true" ma:displayName="Project Name" ma:format="Dropdown" ma:internalName="ProjectName">
      <xsd:simpleType>
        <xsd:restriction base="dms:Text">
          <xsd:maxLength value="255"/>
        </xsd:restriction>
      </xsd:simpleType>
    </xsd:element>
    <xsd:element name="Note" ma:index="31" nillable="true" ma:displayName="Note" ma:format="Dropdown" ma:internalName="Not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a45be4-503f-41bc-b2ae-9c613274fa55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6445b545-1b69-4834-ad25-a5ca62018df7}" ma:internalName="TaxCatchAll" ma:showField="CatchAllData" ma:web="52a45be4-503f-41bc-b2ae-9c613274fa5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Version" ma:index="21" nillable="true" ma:displayName="Version" ma:decimals="0" ma:default="0" ma:format="Dropdown" ma:internalName="_Version" ma:percentage="FALSE">
      <xsd:simpleType>
        <xsd:restriction base="dms:Number"/>
      </xsd:simpleType>
    </xsd:element>
    <xsd:element name="_Revision" ma:index="24" nillable="true" ma:displayName="Revision" ma:internalName="_Revision">
      <xsd:simpleType>
        <xsd:restriction base="dms:Text"/>
      </xsd:simpleType>
    </xsd:element>
    <xsd:element name="_Status" ma:index="25" nillable="true" ma:displayName="Status" ma:default="Not Started" ma:internalName="_Status">
      <xsd:simpleType>
        <xsd:union memberTypes="dms:Text">
          <xsd:simpleType>
            <xsd:restriction base="dms:Choice">
              <xsd:enumeration value="Not Started"/>
              <xsd:enumeration value="Draft"/>
              <xsd:enumeration value="Reviewed"/>
              <xsd:enumeration value="Scheduled"/>
              <xsd:enumeration value="Published"/>
              <xsd:enumeration value="Final"/>
              <xsd:enumeration value="Expired"/>
            </xsd:restriction>
          </xsd:simpleType>
        </xsd:un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 ma:index="22" ma:displayName="Author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 ma:displayName="Status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E37B92F-2E4E-4481-85F3-8AA3ACE48695}">
  <ds:schemaRefs>
    <ds:schemaRef ds:uri="http://schemas.microsoft.com/office/2006/metadata/properties"/>
    <ds:schemaRef ds:uri="http://schemas.microsoft.com/office/infopath/2007/PartnerControls"/>
    <ds:schemaRef ds:uri="51a4b9f5-2f3d-4552-a3dc-cf3a5c0a82da"/>
    <ds:schemaRef ds:uri="http://schemas.microsoft.com/sharepoint/v3/fields"/>
    <ds:schemaRef ds:uri="52a45be4-503f-41bc-b2ae-9c613274fa55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CDECD09E-E944-4F8A-ACB4-119A1E388E1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CA4C2D1-19E0-43F0-98CB-D07F1E88592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1a4b9f5-2f3d-4552-a3dc-cf3a5c0a82da"/>
    <ds:schemaRef ds:uri="52a45be4-503f-41bc-b2ae-9c613274fa55"/>
    <ds:schemaRef ds:uri="http://schemas.microsoft.com/sharepoint/v3/field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</vt:lpstr>
      <vt:lpstr>DLC16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Christopher Wright</cp:lastModifiedBy>
  <dcterms:created xsi:type="dcterms:W3CDTF">2023-09-04T13:57:29Z</dcterms:created>
  <dcterms:modified xsi:type="dcterms:W3CDTF">2026-05-08T14:04:02Z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0x0101009595A44026FF1049AAA555456DD3CC36</vt:lpwstr>
  </property>
  <property fmtid="{D5CDD505-2E9C-101B-9397-08002B2CF9AE}" pid="3" name="MediaServiceImageTags">
    <vt:lpwstr/>
  </property>
</Properties>
</file>