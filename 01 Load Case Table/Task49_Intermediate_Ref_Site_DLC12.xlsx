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enterragroup.sharepoint.com/sites/DesignTeam/Shared Documents/11_Floating Wind/02_Projects/02_R&amp;D/IDEA IRL/01 Reporting/06_Reports/WP2.3 Data Sharing/06 UN/For Release/01 Load Case Table/"/>
    </mc:Choice>
  </mc:AlternateContent>
  <xr:revisionPtr revIDLastSave="32" documentId="13_ncr:1_{D58B842B-B911-42A5-AA7F-8472421CE636}" xr6:coauthVersionLast="47" xr6:coauthVersionMax="47" xr10:uidLastSave="{C7562D48-F5D6-4BD2-A9ED-D2F0C831072E}"/>
  <bookViews>
    <workbookView xWindow="-108" yWindow="-108" windowWidth="23256" windowHeight="12456" activeTab="1" xr2:uid="{00000000-000D-0000-FFFF-FFFF00000000}"/>
  </bookViews>
  <sheets>
    <sheet name="Cover" sheetId="2" r:id="rId1"/>
    <sheet name="DLC1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sharedStrings.xml><?xml version="1.0" encoding="utf-8"?>
<sst xmlns="http://schemas.openxmlformats.org/spreadsheetml/2006/main" count="640" uniqueCount="51">
  <si>
    <t>Analysis Type</t>
  </si>
  <si>
    <t>Wind model</t>
  </si>
  <si>
    <t>Wind Speed</t>
  </si>
  <si>
    <t>Turbulence Intensity(%)</t>
  </si>
  <si>
    <t>Wind seed</t>
  </si>
  <si>
    <t>Wind direction</t>
  </si>
  <si>
    <t>Yaw Misalignment</t>
  </si>
  <si>
    <t>Wave model</t>
  </si>
  <si>
    <t>Hs</t>
  </si>
  <si>
    <t>Tp</t>
  </si>
  <si>
    <t>Wave direction</t>
  </si>
  <si>
    <t>Water level denotation</t>
  </si>
  <si>
    <t>Length of time series (after initialisation)</t>
  </si>
  <si>
    <t>Total hours in design life time</t>
  </si>
  <si>
    <t>Current Model</t>
  </si>
  <si>
    <t>F</t>
  </si>
  <si>
    <t>NTM</t>
  </si>
  <si>
    <t>NSS</t>
  </si>
  <si>
    <t>MSL</t>
  </si>
  <si>
    <t>NCM</t>
  </si>
  <si>
    <t>Gamma</t>
  </si>
  <si>
    <t>Wave Spectrum</t>
  </si>
  <si>
    <t>JONSWAP</t>
  </si>
  <si>
    <t>Index</t>
  </si>
  <si>
    <t>Tidal Current direction</t>
  </si>
  <si>
    <t>Tidal current speed</t>
  </si>
  <si>
    <t>Project:</t>
  </si>
  <si>
    <t>IDEA-IRL</t>
  </si>
  <si>
    <t>Client:</t>
  </si>
  <si>
    <t>SEAI</t>
  </si>
  <si>
    <t>Document reference:</t>
  </si>
  <si>
    <t>Date:</t>
  </si>
  <si>
    <t>Worsheet</t>
  </si>
  <si>
    <t>Contents</t>
  </si>
  <si>
    <t>DLC 1.2</t>
  </si>
  <si>
    <t>Load case table covering DLC 1.2</t>
  </si>
  <si>
    <t>Revision History</t>
  </si>
  <si>
    <t>Revision</t>
  </si>
  <si>
    <t>Date</t>
  </si>
  <si>
    <t>Reason for Issue</t>
  </si>
  <si>
    <t>Originator</t>
  </si>
  <si>
    <t>Checker</t>
  </si>
  <si>
    <t>Approver</t>
  </si>
  <si>
    <t>00</t>
  </si>
  <si>
    <t>Issue for Information</t>
  </si>
  <si>
    <t>DF</t>
  </si>
  <si>
    <t>CW</t>
  </si>
  <si>
    <t>GB</t>
  </si>
  <si>
    <t>23017-VEN-FLO-EX-0014 Task 49 Intermediate water depth DLC1.2</t>
  </si>
  <si>
    <t>Task 49 Intermediate water depth
DLC 1.2
Load Case Table</t>
  </si>
  <si>
    <t>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</si>
</sst>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0"/>
      <color theme="0"/>
      <name val="Arial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D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" fillId="0" borderId="2" xfId="1" applyBorder="1" applyAlignment="1">
      <alignment vertical="center"/>
    </xf>
    <xf numFmtId="0" fontId="3" fillId="0" borderId="3" xfId="1" applyFont="1" applyBorder="1" applyAlignment="1">
      <alignment vertical="center"/>
    </xf>
    <xf numFmtId="0" fontId="1" fillId="0" borderId="4" xfId="1" applyBorder="1"/>
    <xf numFmtId="0" fontId="1" fillId="0" borderId="0" xfId="1"/>
    <xf numFmtId="0" fontId="3" fillId="0" borderId="5" xfId="1" applyFont="1" applyBorder="1" applyAlignment="1">
      <alignment vertical="center"/>
    </xf>
    <xf numFmtId="14" fontId="3" fillId="0" borderId="6" xfId="1" applyNumberFormat="1" applyFont="1" applyBorder="1" applyAlignment="1">
      <alignment vertical="center"/>
    </xf>
    <xf numFmtId="0" fontId="1" fillId="0" borderId="7" xfId="1" applyBorder="1"/>
    <xf numFmtId="0" fontId="6" fillId="3" borderId="5" xfId="1" applyFont="1" applyFill="1" applyBorder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1" fillId="4" borderId="0" xfId="1" applyFill="1" applyAlignment="1">
      <alignment wrapText="1"/>
    </xf>
    <xf numFmtId="0" fontId="0" fillId="4" borderId="0" xfId="0" applyFill="1" applyAlignment="1">
      <alignment wrapText="1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5" fillId="2" borderId="1" xfId="1" applyFont="1" applyFill="1" applyBorder="1" applyAlignment="1">
      <alignment horizontal="left" vertical="center"/>
    </xf>
    <xf numFmtId="0" fontId="1" fillId="0" borderId="2" xfId="1" applyBorder="1"/>
    <xf numFmtId="0" fontId="1" fillId="0" borderId="8" xfId="1" applyBorder="1"/>
    <xf numFmtId="0" fontId="2" fillId="0" borderId="1" xfId="1" applyFont="1" applyBorder="1" applyAlignment="1">
      <alignment horizontal="right" vertical="center"/>
    </xf>
    <xf numFmtId="0" fontId="1" fillId="0" borderId="2" xfId="1" applyBorder="1" applyAlignment="1">
      <alignment vertical="center"/>
    </xf>
    <xf numFmtId="0" fontId="4" fillId="0" borderId="8" xfId="1" applyFont="1" applyBorder="1" applyAlignment="1">
      <alignment horizontal="center" vertical="center" wrapText="1"/>
    </xf>
    <xf numFmtId="0" fontId="1" fillId="0" borderId="4" xfId="1" applyBorder="1" applyAlignment="1">
      <alignment wrapText="1"/>
    </xf>
    <xf numFmtId="0" fontId="1" fillId="0" borderId="0" xfId="1" applyAlignment="1">
      <alignment wrapText="1"/>
    </xf>
    <xf numFmtId="0" fontId="1" fillId="0" borderId="7" xfId="1" applyBorder="1" applyAlignment="1">
      <alignment wrapText="1"/>
    </xf>
    <xf numFmtId="0" fontId="1" fillId="0" borderId="1" xfId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96C71C11-12AD-4ACD-B034-7C3DB34624C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315390</xdr:colOff>
      <xdr:row>4</xdr:row>
      <xdr:rowOff>172271</xdr:rowOff>
    </xdr:from>
    <xdr:ext cx="1789209" cy="524344"/>
    <xdr:pic>
      <xdr:nvPicPr>
        <xdr:cNvPr id="2" name="Picture 1">
          <a:extLst>
            <a:ext uri="{FF2B5EF4-FFF2-40B4-BE49-F238E27FC236}">
              <a16:creationId xmlns:a16="http://schemas.microsoft.com/office/drawing/2014/main" id="{2F8A92D3-9D20-455C-B0A8-12E28521E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7930" y="835211"/>
          <a:ext cx="1789209" cy="52434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6D85-8664-420B-9589-C135352A8C4F}">
  <sheetPr codeName="Sheet1">
    <tabColor rgb="FF004D51"/>
  </sheetPr>
  <dimension ref="A1:H28"/>
  <sheetViews>
    <sheetView showGridLines="0" view="pageBreakPreview" zoomScale="115" zoomScaleNormal="100" zoomScaleSheetLayoutView="115" workbookViewId="0">
      <selection activeCell="A20" sqref="A20"/>
    </sheetView>
  </sheetViews>
  <sheetFormatPr defaultColWidth="8.88671875" defaultRowHeight="13.2" x14ac:dyDescent="0.25"/>
  <cols>
    <col min="1" max="1" width="8.88671875" style="4"/>
    <col min="2" max="2" width="9.6640625" style="4" bestFit="1" customWidth="1"/>
    <col min="3" max="3" width="8.6640625" style="4" customWidth="1"/>
    <col min="4" max="16384" width="8.88671875" style="4"/>
  </cols>
  <sheetData>
    <row r="1" spans="1:8" x14ac:dyDescent="0.25">
      <c r="A1" s="34" t="s">
        <v>26</v>
      </c>
      <c r="B1" s="35"/>
      <c r="C1" s="2" t="s">
        <v>27</v>
      </c>
      <c r="D1" s="3"/>
      <c r="E1" s="3"/>
      <c r="F1" s="3"/>
      <c r="G1" s="3"/>
      <c r="H1" s="3"/>
    </row>
    <row r="2" spans="1:8" x14ac:dyDescent="0.25">
      <c r="A2" s="34" t="s">
        <v>28</v>
      </c>
      <c r="B2" s="35"/>
      <c r="C2" s="5" t="s">
        <v>29</v>
      </c>
    </row>
    <row r="3" spans="1:8" x14ac:dyDescent="0.25">
      <c r="A3" s="34" t="s">
        <v>30</v>
      </c>
      <c r="B3" s="35"/>
      <c r="C3" s="5" t="s">
        <v>48</v>
      </c>
    </row>
    <row r="4" spans="1:8" x14ac:dyDescent="0.25">
      <c r="A4" s="34" t="s">
        <v>31</v>
      </c>
      <c r="B4" s="35"/>
      <c r="C4" s="6">
        <v>46094</v>
      </c>
      <c r="D4" s="7"/>
      <c r="E4" s="7"/>
      <c r="F4" s="7"/>
      <c r="G4" s="7"/>
      <c r="H4" s="7"/>
    </row>
    <row r="5" spans="1:8" x14ac:dyDescent="0.25">
      <c r="A5" s="36" t="s">
        <v>49</v>
      </c>
      <c r="B5" s="37"/>
      <c r="C5" s="37"/>
      <c r="D5" s="37"/>
      <c r="E5" s="37"/>
      <c r="F5" s="37"/>
      <c r="G5" s="37"/>
      <c r="H5" s="37"/>
    </row>
    <row r="6" spans="1:8" x14ac:dyDescent="0.25">
      <c r="A6" s="38"/>
      <c r="B6" s="38"/>
      <c r="C6" s="38"/>
      <c r="D6" s="38"/>
      <c r="E6" s="38"/>
      <c r="F6" s="38"/>
      <c r="G6" s="38"/>
      <c r="H6" s="38"/>
    </row>
    <row r="7" spans="1:8" x14ac:dyDescent="0.25">
      <c r="A7" s="38"/>
      <c r="B7" s="38"/>
      <c r="C7" s="38"/>
      <c r="D7" s="38"/>
      <c r="E7" s="38"/>
      <c r="F7" s="38"/>
      <c r="G7" s="38"/>
      <c r="H7" s="38"/>
    </row>
    <row r="8" spans="1:8" x14ac:dyDescent="0.25">
      <c r="A8" s="38"/>
      <c r="B8" s="38"/>
      <c r="C8" s="38"/>
      <c r="D8" s="38"/>
      <c r="E8" s="38"/>
      <c r="F8" s="38"/>
      <c r="G8" s="38"/>
      <c r="H8" s="38"/>
    </row>
    <row r="9" spans="1:8" x14ac:dyDescent="0.25">
      <c r="A9" s="38"/>
      <c r="B9" s="38"/>
      <c r="C9" s="38"/>
      <c r="D9" s="38"/>
      <c r="E9" s="38"/>
      <c r="F9" s="38"/>
      <c r="G9" s="38"/>
      <c r="H9" s="38"/>
    </row>
    <row r="10" spans="1:8" x14ac:dyDescent="0.25">
      <c r="A10" s="38"/>
      <c r="B10" s="38"/>
      <c r="C10" s="38"/>
      <c r="D10" s="38"/>
      <c r="E10" s="38"/>
      <c r="F10" s="38"/>
      <c r="G10" s="38"/>
      <c r="H10" s="38"/>
    </row>
    <row r="11" spans="1:8" x14ac:dyDescent="0.25">
      <c r="A11" s="38"/>
      <c r="B11" s="38"/>
      <c r="C11" s="38"/>
      <c r="D11" s="38"/>
      <c r="E11" s="38"/>
      <c r="F11" s="38"/>
      <c r="G11" s="38"/>
      <c r="H11" s="38"/>
    </row>
    <row r="12" spans="1:8" x14ac:dyDescent="0.25">
      <c r="A12" s="38"/>
      <c r="B12" s="38"/>
      <c r="C12" s="38"/>
      <c r="D12" s="38"/>
      <c r="E12" s="38"/>
      <c r="F12" s="38"/>
      <c r="G12" s="38"/>
      <c r="H12" s="38"/>
    </row>
    <row r="13" spans="1:8" x14ac:dyDescent="0.25">
      <c r="A13" s="38"/>
      <c r="B13" s="38"/>
      <c r="C13" s="38"/>
      <c r="D13" s="38"/>
      <c r="E13" s="38"/>
      <c r="F13" s="38"/>
      <c r="G13" s="38"/>
      <c r="H13" s="38"/>
    </row>
    <row r="14" spans="1:8" x14ac:dyDescent="0.25">
      <c r="A14" s="38"/>
      <c r="B14" s="38"/>
      <c r="C14" s="38"/>
      <c r="D14" s="38"/>
      <c r="E14" s="38"/>
      <c r="F14" s="38"/>
      <c r="G14" s="38"/>
      <c r="H14" s="38"/>
    </row>
    <row r="15" spans="1:8" x14ac:dyDescent="0.25">
      <c r="A15" s="38"/>
      <c r="B15" s="38"/>
      <c r="C15" s="38"/>
      <c r="D15" s="38"/>
      <c r="E15" s="38"/>
      <c r="F15" s="38"/>
      <c r="G15" s="38"/>
      <c r="H15" s="38"/>
    </row>
    <row r="16" spans="1:8" x14ac:dyDescent="0.25">
      <c r="A16" s="38"/>
      <c r="B16" s="38"/>
      <c r="C16" s="38"/>
      <c r="D16" s="38"/>
      <c r="E16" s="38"/>
      <c r="F16" s="38"/>
      <c r="G16" s="38"/>
      <c r="H16" s="38"/>
    </row>
    <row r="17" spans="1:8" x14ac:dyDescent="0.25">
      <c r="A17" s="39"/>
      <c r="B17" s="39"/>
      <c r="C17" s="39"/>
      <c r="D17" s="39"/>
      <c r="E17" s="39"/>
      <c r="F17" s="39"/>
      <c r="G17" s="39"/>
      <c r="H17" s="39"/>
    </row>
    <row r="18" spans="1:8" ht="13.2" customHeight="1" x14ac:dyDescent="0.25">
      <c r="A18" s="31" t="s">
        <v>32</v>
      </c>
      <c r="B18" s="32"/>
      <c r="C18" s="31" t="s">
        <v>33</v>
      </c>
      <c r="D18" s="33"/>
      <c r="E18" s="33"/>
      <c r="F18" s="33"/>
      <c r="G18" s="33"/>
      <c r="H18" s="33"/>
    </row>
    <row r="19" spans="1:8" x14ac:dyDescent="0.25">
      <c r="A19" s="41" t="s">
        <v>34</v>
      </c>
      <c r="B19" s="32"/>
      <c r="C19" s="41" t="s">
        <v>35</v>
      </c>
      <c r="D19" s="33"/>
      <c r="E19" s="33"/>
      <c r="F19" s="33"/>
      <c r="G19" s="33"/>
      <c r="H19" s="33"/>
    </row>
    <row r="20" spans="1:8" ht="15.6" customHeight="1" x14ac:dyDescent="0.25">
      <c r="A20" s="8"/>
    </row>
    <row r="21" spans="1:8" ht="13.2" customHeight="1" x14ac:dyDescent="0.25">
      <c r="A21" s="42" t="s">
        <v>36</v>
      </c>
      <c r="B21" s="33"/>
      <c r="C21" s="33"/>
      <c r="D21" s="33"/>
      <c r="E21" s="33"/>
      <c r="F21" s="33"/>
      <c r="G21" s="33"/>
      <c r="H21" s="33"/>
    </row>
    <row r="22" spans="1:8" ht="13.2" customHeight="1" x14ac:dyDescent="0.25">
      <c r="A22" s="9" t="s">
        <v>37</v>
      </c>
      <c r="B22" s="9" t="s">
        <v>38</v>
      </c>
      <c r="C22" s="42" t="s">
        <v>39</v>
      </c>
      <c r="D22" s="33"/>
      <c r="E22" s="32"/>
      <c r="F22" s="9" t="s">
        <v>40</v>
      </c>
      <c r="G22" s="9" t="s">
        <v>41</v>
      </c>
      <c r="H22" s="9" t="s">
        <v>42</v>
      </c>
    </row>
    <row r="23" spans="1:8" x14ac:dyDescent="0.25">
      <c r="A23" s="10" t="s">
        <v>43</v>
      </c>
      <c r="B23" s="6">
        <v>46094</v>
      </c>
      <c r="C23" s="43" t="s">
        <v>44</v>
      </c>
      <c r="D23" s="33"/>
      <c r="E23" s="32"/>
      <c r="F23" s="11" t="s">
        <v>45</v>
      </c>
      <c r="G23" s="11" t="s">
        <v>46</v>
      </c>
      <c r="H23" s="11" t="s">
        <v>47</v>
      </c>
    </row>
    <row r="24" spans="1:8" x14ac:dyDescent="0.25">
      <c r="A24" s="10"/>
      <c r="B24" s="12"/>
      <c r="C24" s="43"/>
      <c r="D24" s="33"/>
      <c r="E24" s="32"/>
      <c r="F24" s="11"/>
      <c r="G24" s="11"/>
      <c r="H24" s="11"/>
    </row>
    <row r="25" spans="1:8" x14ac:dyDescent="0.25">
      <c r="A25" s="13"/>
      <c r="B25" s="13"/>
      <c r="C25" s="40"/>
      <c r="D25" s="33"/>
      <c r="E25" s="32"/>
      <c r="F25" s="13"/>
      <c r="G25" s="13"/>
      <c r="H25" s="13"/>
    </row>
    <row r="26" spans="1:8" x14ac:dyDescent="0.25">
      <c r="A26" s="13"/>
      <c r="B26" s="13"/>
      <c r="C26" s="14"/>
      <c r="D26" s="15"/>
      <c r="E26" s="1"/>
      <c r="F26" s="13"/>
      <c r="G26" s="13"/>
      <c r="H26" s="13"/>
    </row>
    <row r="27" spans="1:8" x14ac:dyDescent="0.25">
      <c r="A27" s="13"/>
      <c r="B27" s="13"/>
      <c r="C27" s="40"/>
      <c r="D27" s="33"/>
      <c r="E27" s="32"/>
      <c r="F27" s="13"/>
      <c r="G27" s="13"/>
      <c r="H27" s="13"/>
    </row>
    <row r="28" spans="1:8" x14ac:dyDescent="0.25">
      <c r="A28" s="13"/>
      <c r="B28" s="13"/>
      <c r="C28" s="40"/>
      <c r="D28" s="33"/>
      <c r="E28" s="32"/>
      <c r="F28" s="13"/>
      <c r="G28" s="13"/>
      <c r="H28" s="13"/>
    </row>
  </sheetData>
  <mergeCells count="16">
    <mergeCell ref="C25:E25"/>
    <mergeCell ref="C27:E27"/>
    <mergeCell ref="C28:E28"/>
    <mergeCell ref="A19:B19"/>
    <mergeCell ref="C19:H19"/>
    <mergeCell ref="A21:H21"/>
    <mergeCell ref="C22:E22"/>
    <mergeCell ref="C23:E23"/>
    <mergeCell ref="C24:E24"/>
    <mergeCell ref="A18:B18"/>
    <mergeCell ref="C18:H18"/>
    <mergeCell ref="A1:B1"/>
    <mergeCell ref="A2:B2"/>
    <mergeCell ref="A3:B3"/>
    <mergeCell ref="A4:B4"/>
    <mergeCell ref="A5:H17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100"/>
  <sheetViews>
    <sheetView tabSelected="1" topLeftCell="B1" workbookViewId="0">
      <selection activeCell="M6" sqref="M6"/>
    </sheetView>
  </sheetViews>
  <sheetFormatPr defaultRowHeight="14.4" x14ac:dyDescent="0.3"/>
  <cols>
    <col min="1" max="22" width="20.5546875" style="17" customWidth="1"/>
    <col min="23" max="16384" width="8.88671875" style="16"/>
  </cols>
  <sheetData>
    <row r="1" spans="1:23" s="26" customFormat="1" ht="26.4" x14ac:dyDescent="0.3">
      <c r="A1" s="22" t="s">
        <v>23</v>
      </c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4</v>
      </c>
      <c r="M1" s="23" t="s">
        <v>20</v>
      </c>
      <c r="N1" s="23" t="s">
        <v>10</v>
      </c>
      <c r="O1" s="23" t="s">
        <v>21</v>
      </c>
      <c r="P1" s="23" t="s">
        <v>11</v>
      </c>
      <c r="Q1" s="23" t="s">
        <v>50</v>
      </c>
      <c r="R1" s="23" t="s">
        <v>12</v>
      </c>
      <c r="S1" s="23" t="s">
        <v>13</v>
      </c>
      <c r="T1" s="23" t="s">
        <v>14</v>
      </c>
      <c r="U1" s="23" t="s">
        <v>24</v>
      </c>
      <c r="V1" s="24" t="s">
        <v>25</v>
      </c>
      <c r="W1" s="25"/>
    </row>
    <row r="2" spans="1:23" x14ac:dyDescent="0.3">
      <c r="A2" s="19">
        <v>0</v>
      </c>
      <c r="B2" s="18" t="s">
        <v>15</v>
      </c>
      <c r="C2" s="18" t="s">
        <v>16</v>
      </c>
      <c r="D2" s="18">
        <v>3</v>
      </c>
      <c r="E2" s="27">
        <v>18.46175252563679</v>
      </c>
      <c r="F2" s="18">
        <v>468</v>
      </c>
      <c r="G2" s="27">
        <v>59.097568251036698</v>
      </c>
      <c r="H2" s="18">
        <v>0</v>
      </c>
      <c r="I2" s="18" t="s">
        <v>17</v>
      </c>
      <c r="J2" s="27">
        <v>0.38130843367469303</v>
      </c>
      <c r="K2" s="27">
        <v>4.2199172145219599</v>
      </c>
      <c r="L2" s="18">
        <v>5772222</v>
      </c>
      <c r="M2" s="18">
        <v>1</v>
      </c>
      <c r="N2" s="27">
        <v>1.0634533264319601</v>
      </c>
      <c r="O2" s="18" t="s">
        <v>22</v>
      </c>
      <c r="P2" s="18" t="s">
        <v>18</v>
      </c>
      <c r="Q2" s="18">
        <v>300</v>
      </c>
      <c r="R2" s="18">
        <v>4200</v>
      </c>
      <c r="S2" s="27">
        <v>44.041275786899895</v>
      </c>
      <c r="T2" s="18" t="s">
        <v>19</v>
      </c>
      <c r="U2" s="27">
        <f>G2-180</f>
        <v>-120.90243174896329</v>
      </c>
      <c r="V2" s="28">
        <v>1.9451211372466581E-2</v>
      </c>
    </row>
    <row r="3" spans="1:23" x14ac:dyDescent="0.3">
      <c r="A3" s="19">
        <v>1</v>
      </c>
      <c r="B3" s="18" t="s">
        <v>15</v>
      </c>
      <c r="C3" s="18" t="s">
        <v>16</v>
      </c>
      <c r="D3" s="18">
        <v>3</v>
      </c>
      <c r="E3" s="27">
        <v>18.46175252563679</v>
      </c>
      <c r="F3" s="18">
        <v>468</v>
      </c>
      <c r="G3" s="27">
        <v>67.500007190364499</v>
      </c>
      <c r="H3" s="18">
        <v>0</v>
      </c>
      <c r="I3" s="18" t="s">
        <v>17</v>
      </c>
      <c r="J3" s="27">
        <v>0.65477908326266598</v>
      </c>
      <c r="K3" s="27">
        <v>21.021609724216901</v>
      </c>
      <c r="L3" s="18">
        <v>6292401</v>
      </c>
      <c r="M3" s="18">
        <v>1</v>
      </c>
      <c r="N3" s="27">
        <v>290.516936012158</v>
      </c>
      <c r="O3" s="18" t="s">
        <v>22</v>
      </c>
      <c r="P3" s="18" t="s">
        <v>18</v>
      </c>
      <c r="Q3" s="18">
        <v>300</v>
      </c>
      <c r="R3" s="18">
        <v>4200</v>
      </c>
      <c r="S3" s="27">
        <v>4.2817907015041481</v>
      </c>
      <c r="T3" s="18" t="s">
        <v>19</v>
      </c>
      <c r="U3" s="27">
        <f t="shared" ref="U3:U66" si="0">G3-180</f>
        <v>-112.4999928096355</v>
      </c>
      <c r="V3" s="28">
        <v>1.9451211372466581E-2</v>
      </c>
    </row>
    <row r="4" spans="1:23" x14ac:dyDescent="0.3">
      <c r="A4" s="19">
        <v>2</v>
      </c>
      <c r="B4" s="18" t="s">
        <v>15</v>
      </c>
      <c r="C4" s="18" t="s">
        <v>16</v>
      </c>
      <c r="D4" s="18">
        <v>3</v>
      </c>
      <c r="E4" s="27">
        <v>18.46175252563679</v>
      </c>
      <c r="F4" s="18">
        <v>468</v>
      </c>
      <c r="G4" s="27">
        <v>55.644725032714497</v>
      </c>
      <c r="H4" s="18">
        <v>0</v>
      </c>
      <c r="I4" s="18" t="s">
        <v>17</v>
      </c>
      <c r="J4" s="27">
        <v>1.1825236037368501</v>
      </c>
      <c r="K4" s="27">
        <v>9.6778374465400194</v>
      </c>
      <c r="L4" s="18">
        <v>7535670</v>
      </c>
      <c r="M4" s="18">
        <v>1</v>
      </c>
      <c r="N4" s="27">
        <v>346.143276897661</v>
      </c>
      <c r="O4" s="18" t="s">
        <v>22</v>
      </c>
      <c r="P4" s="18" t="s">
        <v>18</v>
      </c>
      <c r="Q4" s="18">
        <v>300</v>
      </c>
      <c r="R4" s="18">
        <v>4200</v>
      </c>
      <c r="S4" s="27">
        <v>42.817907015041484</v>
      </c>
      <c r="T4" s="18" t="s">
        <v>19</v>
      </c>
      <c r="U4" s="27">
        <f t="shared" si="0"/>
        <v>-124.35527496728551</v>
      </c>
      <c r="V4" s="28">
        <v>1.9451211372466581E-2</v>
      </c>
    </row>
    <row r="5" spans="1:23" x14ac:dyDescent="0.3">
      <c r="A5" s="19">
        <v>3</v>
      </c>
      <c r="B5" s="18" t="s">
        <v>15</v>
      </c>
      <c r="C5" s="18" t="s">
        <v>16</v>
      </c>
      <c r="D5" s="18">
        <v>3</v>
      </c>
      <c r="E5" s="27">
        <v>18.46175252563679</v>
      </c>
      <c r="F5" s="18">
        <v>468</v>
      </c>
      <c r="G5" s="27">
        <v>66.171134276541494</v>
      </c>
      <c r="H5" s="18">
        <v>0</v>
      </c>
      <c r="I5" s="18" t="s">
        <v>17</v>
      </c>
      <c r="J5" s="27">
        <v>0.75954898819209404</v>
      </c>
      <c r="K5" s="27">
        <v>6.4761744283456997</v>
      </c>
      <c r="L5" s="18">
        <v>9309026</v>
      </c>
      <c r="M5" s="18">
        <v>1</v>
      </c>
      <c r="N5" s="27">
        <v>300.34082092003899</v>
      </c>
      <c r="O5" s="18" t="s">
        <v>22</v>
      </c>
      <c r="P5" s="18" t="s">
        <v>18</v>
      </c>
      <c r="Q5" s="18">
        <v>300</v>
      </c>
      <c r="R5" s="18">
        <v>4200</v>
      </c>
      <c r="S5" s="27">
        <v>112.54992701096656</v>
      </c>
      <c r="T5" s="18" t="s">
        <v>19</v>
      </c>
      <c r="U5" s="27">
        <f t="shared" si="0"/>
        <v>-113.82886572345851</v>
      </c>
      <c r="V5" s="28">
        <v>1.9451211372466581E-2</v>
      </c>
    </row>
    <row r="6" spans="1:23" x14ac:dyDescent="0.3">
      <c r="A6" s="19">
        <v>4</v>
      </c>
      <c r="B6" s="18" t="s">
        <v>15</v>
      </c>
      <c r="C6" s="18" t="s">
        <v>16</v>
      </c>
      <c r="D6" s="18">
        <v>4</v>
      </c>
      <c r="E6" s="27">
        <v>16.693143891798609</v>
      </c>
      <c r="F6" s="18">
        <v>566</v>
      </c>
      <c r="G6" s="27">
        <v>61.219745005177501</v>
      </c>
      <c r="H6" s="18">
        <v>0</v>
      </c>
      <c r="I6" s="18" t="s">
        <v>17</v>
      </c>
      <c r="J6" s="27">
        <v>0.59923409107571002</v>
      </c>
      <c r="K6" s="27">
        <v>5.1210328409187902</v>
      </c>
      <c r="L6" s="18">
        <v>4172435</v>
      </c>
      <c r="M6" s="18">
        <v>1</v>
      </c>
      <c r="N6" s="27">
        <v>230.764790427989</v>
      </c>
      <c r="O6" s="18" t="s">
        <v>22</v>
      </c>
      <c r="P6" s="18" t="s">
        <v>18</v>
      </c>
      <c r="Q6" s="18">
        <v>300</v>
      </c>
      <c r="R6" s="18">
        <v>4200</v>
      </c>
      <c r="S6" s="27">
        <v>63.615176136633238</v>
      </c>
      <c r="T6" s="18" t="s">
        <v>19</v>
      </c>
      <c r="U6" s="27">
        <f t="shared" si="0"/>
        <v>-118.7802549948225</v>
      </c>
      <c r="V6" s="28">
        <v>2.5934948496622111E-2</v>
      </c>
    </row>
    <row r="7" spans="1:23" x14ac:dyDescent="0.3">
      <c r="A7" s="19">
        <v>5</v>
      </c>
      <c r="B7" s="18" t="s">
        <v>15</v>
      </c>
      <c r="C7" s="18" t="s">
        <v>16</v>
      </c>
      <c r="D7" s="18">
        <v>4</v>
      </c>
      <c r="E7" s="27">
        <v>16.693143891798609</v>
      </c>
      <c r="F7" s="18">
        <v>566</v>
      </c>
      <c r="G7" s="27">
        <v>47.854130492875797</v>
      </c>
      <c r="H7" s="18">
        <v>0</v>
      </c>
      <c r="I7" s="18" t="s">
        <v>17</v>
      </c>
      <c r="J7" s="27">
        <v>1.4773091331030099</v>
      </c>
      <c r="K7" s="27">
        <v>10.393701453013801</v>
      </c>
      <c r="L7" s="18">
        <v>647188</v>
      </c>
      <c r="M7" s="18">
        <v>1</v>
      </c>
      <c r="N7" s="27">
        <v>334.46076487858198</v>
      </c>
      <c r="O7" s="18" t="s">
        <v>22</v>
      </c>
      <c r="P7" s="18" t="s">
        <v>18</v>
      </c>
      <c r="Q7" s="18">
        <v>300</v>
      </c>
      <c r="R7" s="18">
        <v>4200</v>
      </c>
      <c r="S7" s="27">
        <v>196.96237226919172</v>
      </c>
      <c r="T7" s="18" t="s">
        <v>19</v>
      </c>
      <c r="U7" s="27">
        <f t="shared" si="0"/>
        <v>-132.14586950712419</v>
      </c>
      <c r="V7" s="28">
        <v>2.5934948496622111E-2</v>
      </c>
    </row>
    <row r="8" spans="1:23" x14ac:dyDescent="0.3">
      <c r="A8" s="19">
        <v>6</v>
      </c>
      <c r="B8" s="18" t="s">
        <v>15</v>
      </c>
      <c r="C8" s="18" t="s">
        <v>16</v>
      </c>
      <c r="D8" s="18">
        <v>4</v>
      </c>
      <c r="E8" s="27">
        <v>16.693143891798609</v>
      </c>
      <c r="F8" s="18">
        <v>566</v>
      </c>
      <c r="G8" s="27">
        <v>50.709218876829198</v>
      </c>
      <c r="H8" s="18">
        <v>0</v>
      </c>
      <c r="I8" s="18" t="s">
        <v>17</v>
      </c>
      <c r="J8" s="27">
        <v>0.58845298661637702</v>
      </c>
      <c r="K8" s="27">
        <v>5.6497517567498097</v>
      </c>
      <c r="L8" s="18">
        <v>1682764</v>
      </c>
      <c r="M8" s="18">
        <v>1</v>
      </c>
      <c r="N8" s="27">
        <v>318.55329972039402</v>
      </c>
      <c r="O8" s="18" t="s">
        <v>22</v>
      </c>
      <c r="P8" s="18" t="s">
        <v>18</v>
      </c>
      <c r="Q8" s="18">
        <v>300</v>
      </c>
      <c r="R8" s="18">
        <v>4200</v>
      </c>
      <c r="S8" s="27">
        <v>64.226860522562333</v>
      </c>
      <c r="T8" s="18" t="s">
        <v>19</v>
      </c>
      <c r="U8" s="27">
        <f t="shared" si="0"/>
        <v>-129.2907811231708</v>
      </c>
      <c r="V8" s="28">
        <v>2.5934948496622111E-2</v>
      </c>
    </row>
    <row r="9" spans="1:23" x14ac:dyDescent="0.3">
      <c r="A9" s="19">
        <v>7</v>
      </c>
      <c r="B9" s="18" t="s">
        <v>15</v>
      </c>
      <c r="C9" s="18" t="s">
        <v>16</v>
      </c>
      <c r="D9" s="18">
        <v>4</v>
      </c>
      <c r="E9" s="27">
        <v>16.693143891798609</v>
      </c>
      <c r="F9" s="18">
        <v>566</v>
      </c>
      <c r="G9" s="27">
        <v>0.140644777096601</v>
      </c>
      <c r="H9" s="18">
        <v>0</v>
      </c>
      <c r="I9" s="18" t="s">
        <v>17</v>
      </c>
      <c r="J9" s="27">
        <v>0.51011504055221202</v>
      </c>
      <c r="K9" s="27">
        <v>14.9835661591873</v>
      </c>
      <c r="L9" s="18">
        <v>3752645</v>
      </c>
      <c r="M9" s="18">
        <v>1</v>
      </c>
      <c r="N9" s="27">
        <v>221.48934329989299</v>
      </c>
      <c r="O9" s="18" t="s">
        <v>22</v>
      </c>
      <c r="P9" s="18" t="s">
        <v>18</v>
      </c>
      <c r="Q9" s="18">
        <v>300</v>
      </c>
      <c r="R9" s="18">
        <v>4200</v>
      </c>
      <c r="S9" s="27">
        <v>6.728528245220823</v>
      </c>
      <c r="T9" s="18" t="s">
        <v>19</v>
      </c>
      <c r="U9" s="27">
        <f t="shared" si="0"/>
        <v>-179.85935522290339</v>
      </c>
      <c r="V9" s="28">
        <v>2.5934948496622111E-2</v>
      </c>
    </row>
    <row r="10" spans="1:23" x14ac:dyDescent="0.3">
      <c r="A10" s="19">
        <v>8</v>
      </c>
      <c r="B10" s="18" t="s">
        <v>15</v>
      </c>
      <c r="C10" s="18" t="s">
        <v>16</v>
      </c>
      <c r="D10" s="18">
        <v>4</v>
      </c>
      <c r="E10" s="27">
        <v>16.693143891798609</v>
      </c>
      <c r="F10" s="18">
        <v>566</v>
      </c>
      <c r="G10" s="27">
        <v>46.223763113203901</v>
      </c>
      <c r="H10" s="18">
        <v>0</v>
      </c>
      <c r="I10" s="18" t="s">
        <v>17</v>
      </c>
      <c r="J10" s="27">
        <v>1.0287856895694401</v>
      </c>
      <c r="K10" s="27">
        <v>6.3487610816232198</v>
      </c>
      <c r="L10" s="18">
        <v>1247575</v>
      </c>
      <c r="M10" s="18">
        <v>1</v>
      </c>
      <c r="N10" s="27">
        <v>198.06589180784999</v>
      </c>
      <c r="O10" s="18" t="s">
        <v>22</v>
      </c>
      <c r="P10" s="18" t="s">
        <v>18</v>
      </c>
      <c r="Q10" s="18">
        <v>300</v>
      </c>
      <c r="R10" s="18">
        <v>4200</v>
      </c>
      <c r="S10" s="27">
        <v>132.73551174662919</v>
      </c>
      <c r="T10" s="18" t="s">
        <v>19</v>
      </c>
      <c r="U10" s="27">
        <f t="shared" si="0"/>
        <v>-133.77623688679608</v>
      </c>
      <c r="V10" s="28">
        <v>2.5934948496622111E-2</v>
      </c>
    </row>
    <row r="11" spans="1:23" x14ac:dyDescent="0.3">
      <c r="A11" s="19">
        <v>9</v>
      </c>
      <c r="B11" s="18" t="s">
        <v>15</v>
      </c>
      <c r="C11" s="18" t="s">
        <v>16</v>
      </c>
      <c r="D11" s="18">
        <v>4</v>
      </c>
      <c r="E11" s="27">
        <v>16.693143891798609</v>
      </c>
      <c r="F11" s="18">
        <v>566</v>
      </c>
      <c r="G11" s="27">
        <v>64.213335128056201</v>
      </c>
      <c r="H11" s="18">
        <v>0</v>
      </c>
      <c r="I11" s="18" t="s">
        <v>17</v>
      </c>
      <c r="J11" s="27">
        <v>0.70551441341308696</v>
      </c>
      <c r="K11" s="27">
        <v>5.3911569807297202</v>
      </c>
      <c r="L11" s="18">
        <v>2728501</v>
      </c>
      <c r="M11" s="18">
        <v>1</v>
      </c>
      <c r="N11" s="27">
        <v>167.47330033757399</v>
      </c>
      <c r="O11" s="18" t="s">
        <v>22</v>
      </c>
      <c r="P11" s="18" t="s">
        <v>18</v>
      </c>
      <c r="Q11" s="18">
        <v>300</v>
      </c>
      <c r="R11" s="18">
        <v>4200</v>
      </c>
      <c r="S11" s="27">
        <v>70.955388767783234</v>
      </c>
      <c r="T11" s="18" t="s">
        <v>19</v>
      </c>
      <c r="U11" s="27">
        <f t="shared" si="0"/>
        <v>-115.7866648719438</v>
      </c>
      <c r="V11" s="28">
        <v>2.5934948496622111E-2</v>
      </c>
    </row>
    <row r="12" spans="1:23" x14ac:dyDescent="0.3">
      <c r="A12" s="19">
        <v>10</v>
      </c>
      <c r="B12" s="18" t="s">
        <v>15</v>
      </c>
      <c r="C12" s="18" t="s">
        <v>16</v>
      </c>
      <c r="D12" s="18">
        <v>4</v>
      </c>
      <c r="E12" s="27">
        <v>16.693143891798609</v>
      </c>
      <c r="F12" s="18">
        <v>566</v>
      </c>
      <c r="G12" s="27">
        <v>89.241685694759198</v>
      </c>
      <c r="H12" s="18">
        <v>0</v>
      </c>
      <c r="I12" s="18" t="s">
        <v>17</v>
      </c>
      <c r="J12" s="27">
        <v>1.56388270247165</v>
      </c>
      <c r="K12" s="27">
        <v>12.5900870124264</v>
      </c>
      <c r="L12" s="18">
        <v>4201074</v>
      </c>
      <c r="M12" s="18">
        <v>1</v>
      </c>
      <c r="N12" s="27">
        <v>323.43740944970398</v>
      </c>
      <c r="O12" s="18" t="s">
        <v>22</v>
      </c>
      <c r="P12" s="18" t="s">
        <v>18</v>
      </c>
      <c r="Q12" s="18">
        <v>300</v>
      </c>
      <c r="R12" s="18">
        <v>4200</v>
      </c>
      <c r="S12" s="27">
        <v>245.89712314352437</v>
      </c>
      <c r="T12" s="18" t="s">
        <v>19</v>
      </c>
      <c r="U12" s="27">
        <f t="shared" si="0"/>
        <v>-90.758314305240802</v>
      </c>
      <c r="V12" s="28">
        <v>2.5934948496622111E-2</v>
      </c>
    </row>
    <row r="13" spans="1:23" x14ac:dyDescent="0.3">
      <c r="A13" s="19">
        <v>11</v>
      </c>
      <c r="B13" s="18" t="s">
        <v>15</v>
      </c>
      <c r="C13" s="18" t="s">
        <v>16</v>
      </c>
      <c r="D13" s="18">
        <v>4</v>
      </c>
      <c r="E13" s="27">
        <v>16.693143891798609</v>
      </c>
      <c r="F13" s="18">
        <v>566</v>
      </c>
      <c r="G13" s="27">
        <v>57.114666565274497</v>
      </c>
      <c r="H13" s="18">
        <v>0</v>
      </c>
      <c r="I13" s="18" t="s">
        <v>17</v>
      </c>
      <c r="J13" s="27">
        <v>0.466056587439101</v>
      </c>
      <c r="K13" s="27">
        <v>4.14909563217374</v>
      </c>
      <c r="L13" s="18">
        <v>5767504</v>
      </c>
      <c r="M13" s="18">
        <v>1</v>
      </c>
      <c r="N13" s="27">
        <v>79.995810876173394</v>
      </c>
      <c r="O13" s="18" t="s">
        <v>22</v>
      </c>
      <c r="P13" s="18" t="s">
        <v>18</v>
      </c>
      <c r="Q13" s="18">
        <v>300</v>
      </c>
      <c r="R13" s="18">
        <v>4200</v>
      </c>
      <c r="S13" s="27">
        <v>77.07223262707501</v>
      </c>
      <c r="T13" s="18" t="s">
        <v>19</v>
      </c>
      <c r="U13" s="27">
        <f t="shared" si="0"/>
        <v>-122.88533343472551</v>
      </c>
      <c r="V13" s="28">
        <v>2.5934948496622111E-2</v>
      </c>
    </row>
    <row r="14" spans="1:23" x14ac:dyDescent="0.3">
      <c r="A14" s="19">
        <v>12</v>
      </c>
      <c r="B14" s="18" t="s">
        <v>15</v>
      </c>
      <c r="C14" s="18" t="s">
        <v>16</v>
      </c>
      <c r="D14" s="18">
        <v>5</v>
      </c>
      <c r="E14" s="27">
        <v>14.92453525796043</v>
      </c>
      <c r="F14" s="18">
        <v>382</v>
      </c>
      <c r="G14" s="27">
        <v>201.86073387491399</v>
      </c>
      <c r="H14" s="18">
        <v>0</v>
      </c>
      <c r="I14" s="18" t="s">
        <v>17</v>
      </c>
      <c r="J14" s="27">
        <v>0.83111831286971405</v>
      </c>
      <c r="K14" s="27">
        <v>7.5848580287398697</v>
      </c>
      <c r="L14" s="18">
        <v>390078</v>
      </c>
      <c r="M14" s="18">
        <v>1</v>
      </c>
      <c r="N14" s="27">
        <v>343.66828759731902</v>
      </c>
      <c r="O14" s="18" t="s">
        <v>22</v>
      </c>
      <c r="P14" s="18" t="s">
        <v>18</v>
      </c>
      <c r="Q14" s="18">
        <v>300</v>
      </c>
      <c r="R14" s="18">
        <v>4200</v>
      </c>
      <c r="S14" s="27">
        <v>2707.3150921224919</v>
      </c>
      <c r="T14" s="18" t="s">
        <v>19</v>
      </c>
      <c r="U14" s="27">
        <f t="shared" si="0"/>
        <v>21.86073387491399</v>
      </c>
      <c r="V14" s="28">
        <v>3.241868562077764E-2</v>
      </c>
    </row>
    <row r="15" spans="1:23" x14ac:dyDescent="0.3">
      <c r="A15" s="19">
        <v>13</v>
      </c>
      <c r="B15" s="18" t="s">
        <v>15</v>
      </c>
      <c r="C15" s="18" t="s">
        <v>16</v>
      </c>
      <c r="D15" s="18">
        <v>5</v>
      </c>
      <c r="E15" s="27">
        <v>14.92453525796043</v>
      </c>
      <c r="F15" s="18">
        <v>382</v>
      </c>
      <c r="G15" s="27">
        <v>109.852682468582</v>
      </c>
      <c r="H15" s="18">
        <v>0</v>
      </c>
      <c r="I15" s="18" t="s">
        <v>17</v>
      </c>
      <c r="J15" s="27">
        <v>0.81105865827783596</v>
      </c>
      <c r="K15" s="27">
        <v>5.6770400960848404</v>
      </c>
      <c r="L15" s="18">
        <v>4313650</v>
      </c>
      <c r="M15" s="18">
        <v>1</v>
      </c>
      <c r="N15" s="27">
        <v>242.90320531183499</v>
      </c>
      <c r="O15" s="18" t="s">
        <v>22</v>
      </c>
      <c r="P15" s="18" t="s">
        <v>18</v>
      </c>
      <c r="Q15" s="18">
        <v>300</v>
      </c>
      <c r="R15" s="18">
        <v>4200</v>
      </c>
      <c r="S15" s="27">
        <v>576.81837593120281</v>
      </c>
      <c r="T15" s="18" t="s">
        <v>19</v>
      </c>
      <c r="U15" s="27">
        <f t="shared" si="0"/>
        <v>-70.147317531417997</v>
      </c>
      <c r="V15" s="28">
        <v>3.241868562077764E-2</v>
      </c>
    </row>
    <row r="16" spans="1:23" x14ac:dyDescent="0.3">
      <c r="A16" s="19">
        <v>14</v>
      </c>
      <c r="B16" s="18" t="s">
        <v>15</v>
      </c>
      <c r="C16" s="18" t="s">
        <v>16</v>
      </c>
      <c r="D16" s="18">
        <v>5</v>
      </c>
      <c r="E16" s="27">
        <v>14.92453525796043</v>
      </c>
      <c r="F16" s="18">
        <v>382</v>
      </c>
      <c r="G16" s="27">
        <v>39.771503410932802</v>
      </c>
      <c r="H16" s="18">
        <v>0</v>
      </c>
      <c r="I16" s="18" t="s">
        <v>17</v>
      </c>
      <c r="J16" s="27">
        <v>0.80105603795854197</v>
      </c>
      <c r="K16" s="27">
        <v>6.0949032650597896</v>
      </c>
      <c r="L16" s="18">
        <v>847304</v>
      </c>
      <c r="M16" s="18">
        <v>1</v>
      </c>
      <c r="N16" s="27">
        <v>353.19743093561101</v>
      </c>
      <c r="O16" s="18" t="s">
        <v>22</v>
      </c>
      <c r="P16" s="18" t="s">
        <v>18</v>
      </c>
      <c r="Q16" s="18">
        <v>300</v>
      </c>
      <c r="R16" s="18">
        <v>4200</v>
      </c>
      <c r="S16" s="27">
        <v>826.38560539030243</v>
      </c>
      <c r="T16" s="18" t="s">
        <v>19</v>
      </c>
      <c r="U16" s="27">
        <f t="shared" si="0"/>
        <v>-140.22849658906719</v>
      </c>
      <c r="V16" s="28">
        <v>3.241868562077764E-2</v>
      </c>
    </row>
    <row r="17" spans="1:22" x14ac:dyDescent="0.3">
      <c r="A17" s="19">
        <v>15</v>
      </c>
      <c r="B17" s="18" t="s">
        <v>15</v>
      </c>
      <c r="C17" s="18" t="s">
        <v>16</v>
      </c>
      <c r="D17" s="18">
        <v>5</v>
      </c>
      <c r="E17" s="27">
        <v>14.92453525796043</v>
      </c>
      <c r="F17" s="18">
        <v>382</v>
      </c>
      <c r="G17" s="27">
        <v>72.758260971130994</v>
      </c>
      <c r="H17" s="18">
        <v>0</v>
      </c>
      <c r="I17" s="18" t="s">
        <v>17</v>
      </c>
      <c r="J17" s="27">
        <v>0.66511799804964999</v>
      </c>
      <c r="K17" s="27">
        <v>12.1702763993249</v>
      </c>
      <c r="L17" s="18">
        <v>3390041</v>
      </c>
      <c r="M17" s="18">
        <v>1</v>
      </c>
      <c r="N17" s="27">
        <v>215.12375593892099</v>
      </c>
      <c r="O17" s="18" t="s">
        <v>22</v>
      </c>
      <c r="P17" s="18" t="s">
        <v>18</v>
      </c>
      <c r="Q17" s="18">
        <v>300</v>
      </c>
      <c r="R17" s="18">
        <v>4200</v>
      </c>
      <c r="S17" s="27">
        <v>2.4467375437166519</v>
      </c>
      <c r="T17" s="18" t="s">
        <v>19</v>
      </c>
      <c r="U17" s="27">
        <f t="shared" si="0"/>
        <v>-107.24173902886901</v>
      </c>
      <c r="V17" s="28">
        <v>3.241868562077764E-2</v>
      </c>
    </row>
    <row r="18" spans="1:22" x14ac:dyDescent="0.3">
      <c r="A18" s="19">
        <v>16</v>
      </c>
      <c r="B18" s="18" t="s">
        <v>15</v>
      </c>
      <c r="C18" s="18" t="s">
        <v>16</v>
      </c>
      <c r="D18" s="18">
        <v>5</v>
      </c>
      <c r="E18" s="27">
        <v>14.92453525796043</v>
      </c>
      <c r="F18" s="18">
        <v>382</v>
      </c>
      <c r="G18" s="27">
        <v>69.5371407519755</v>
      </c>
      <c r="H18" s="18">
        <v>0</v>
      </c>
      <c r="I18" s="18" t="s">
        <v>17</v>
      </c>
      <c r="J18" s="27">
        <v>1.3236011733664701</v>
      </c>
      <c r="K18" s="27">
        <v>9.3408199896443307</v>
      </c>
      <c r="L18" s="18">
        <v>2022936</v>
      </c>
      <c r="M18" s="18">
        <v>1</v>
      </c>
      <c r="N18" s="27">
        <v>342.94773462667399</v>
      </c>
      <c r="O18" s="18" t="s">
        <v>22</v>
      </c>
      <c r="P18" s="18" t="s">
        <v>18</v>
      </c>
      <c r="Q18" s="18">
        <v>300</v>
      </c>
      <c r="R18" s="18">
        <v>4200</v>
      </c>
      <c r="S18" s="27">
        <v>543.78741909102803</v>
      </c>
      <c r="T18" s="18" t="s">
        <v>19</v>
      </c>
      <c r="U18" s="27">
        <f t="shared" si="0"/>
        <v>-110.4628592480245</v>
      </c>
      <c r="V18" s="28">
        <v>3.241868562077764E-2</v>
      </c>
    </row>
    <row r="19" spans="1:22" x14ac:dyDescent="0.3">
      <c r="A19" s="19">
        <v>17</v>
      </c>
      <c r="B19" s="18" t="s">
        <v>15</v>
      </c>
      <c r="C19" s="18" t="s">
        <v>16</v>
      </c>
      <c r="D19" s="18">
        <v>5</v>
      </c>
      <c r="E19" s="27">
        <v>14.92453525796043</v>
      </c>
      <c r="F19" s="18">
        <v>382</v>
      </c>
      <c r="G19" s="27">
        <v>50.371311654660602</v>
      </c>
      <c r="H19" s="18">
        <v>0</v>
      </c>
      <c r="I19" s="18" t="s">
        <v>17</v>
      </c>
      <c r="J19" s="27">
        <v>0.80779193681264305</v>
      </c>
      <c r="K19" s="27">
        <v>5.5921466359098897</v>
      </c>
      <c r="L19" s="18">
        <v>4169169</v>
      </c>
      <c r="M19" s="18">
        <v>1</v>
      </c>
      <c r="N19" s="27">
        <v>133.78510956745501</v>
      </c>
      <c r="O19" s="18" t="s">
        <v>22</v>
      </c>
      <c r="P19" s="18" t="s">
        <v>18</v>
      </c>
      <c r="Q19" s="18">
        <v>300</v>
      </c>
      <c r="R19" s="18">
        <v>4200</v>
      </c>
      <c r="S19" s="27">
        <v>75.237179469287526</v>
      </c>
      <c r="T19" s="18" t="s">
        <v>19</v>
      </c>
      <c r="U19" s="27">
        <f t="shared" si="0"/>
        <v>-129.62868834533941</v>
      </c>
      <c r="V19" s="28">
        <v>3.241868562077764E-2</v>
      </c>
    </row>
    <row r="20" spans="1:22" x14ac:dyDescent="0.3">
      <c r="A20" s="19">
        <v>18</v>
      </c>
      <c r="B20" s="18" t="s">
        <v>15</v>
      </c>
      <c r="C20" s="18" t="s">
        <v>16</v>
      </c>
      <c r="D20" s="18">
        <v>5</v>
      </c>
      <c r="E20" s="27">
        <v>14.92453525796043</v>
      </c>
      <c r="F20" s="18">
        <v>382</v>
      </c>
      <c r="G20" s="27">
        <v>257.06821381227098</v>
      </c>
      <c r="H20" s="18">
        <v>0</v>
      </c>
      <c r="I20" s="18" t="s">
        <v>17</v>
      </c>
      <c r="J20" s="27">
        <v>1.00963629556833</v>
      </c>
      <c r="K20" s="27">
        <v>6.3097448784859997</v>
      </c>
      <c r="L20" s="18">
        <v>8326920</v>
      </c>
      <c r="M20" s="18">
        <v>1</v>
      </c>
      <c r="N20" s="27">
        <v>54.577301301791898</v>
      </c>
      <c r="O20" s="18" t="s">
        <v>22</v>
      </c>
      <c r="P20" s="18" t="s">
        <v>18</v>
      </c>
      <c r="Q20" s="18">
        <v>300</v>
      </c>
      <c r="R20" s="18">
        <v>4200</v>
      </c>
      <c r="S20" s="27">
        <v>1056.9906188855991</v>
      </c>
      <c r="T20" s="18" t="s">
        <v>19</v>
      </c>
      <c r="U20" s="27">
        <f t="shared" si="0"/>
        <v>77.068213812270983</v>
      </c>
      <c r="V20" s="28">
        <v>3.241868562077764E-2</v>
      </c>
    </row>
    <row r="21" spans="1:22" x14ac:dyDescent="0.3">
      <c r="A21" s="19">
        <v>19</v>
      </c>
      <c r="B21" s="18" t="s">
        <v>15</v>
      </c>
      <c r="C21" s="18" t="s">
        <v>16</v>
      </c>
      <c r="D21" s="18">
        <v>5</v>
      </c>
      <c r="E21" s="27">
        <v>14.92453525796043</v>
      </c>
      <c r="F21" s="18">
        <v>382</v>
      </c>
      <c r="G21" s="27">
        <v>52.453117710719603</v>
      </c>
      <c r="H21" s="18">
        <v>0</v>
      </c>
      <c r="I21" s="18" t="s">
        <v>17</v>
      </c>
      <c r="J21" s="27">
        <v>2.1701803072885602</v>
      </c>
      <c r="K21" s="27">
        <v>12.6741147993017</v>
      </c>
      <c r="L21" s="18">
        <v>2295561</v>
      </c>
      <c r="M21" s="18">
        <v>1</v>
      </c>
      <c r="N21" s="27">
        <v>343.63490984152003</v>
      </c>
      <c r="O21" s="18" t="s">
        <v>22</v>
      </c>
      <c r="P21" s="18" t="s">
        <v>18</v>
      </c>
      <c r="Q21" s="18">
        <v>300</v>
      </c>
      <c r="R21" s="18">
        <v>4200</v>
      </c>
      <c r="S21" s="27">
        <v>75.848863855216607</v>
      </c>
      <c r="T21" s="18" t="s">
        <v>19</v>
      </c>
      <c r="U21" s="27">
        <f t="shared" si="0"/>
        <v>-127.5468822892804</v>
      </c>
      <c r="V21" s="28">
        <v>3.241868562077764E-2</v>
      </c>
    </row>
    <row r="22" spans="1:22" x14ac:dyDescent="0.3">
      <c r="A22" s="19">
        <v>20</v>
      </c>
      <c r="B22" s="18" t="s">
        <v>15</v>
      </c>
      <c r="C22" s="18" t="s">
        <v>16</v>
      </c>
      <c r="D22" s="18">
        <v>5</v>
      </c>
      <c r="E22" s="27">
        <v>14.92453525796043</v>
      </c>
      <c r="F22" s="18">
        <v>382</v>
      </c>
      <c r="G22" s="27">
        <v>129.077121587823</v>
      </c>
      <c r="H22" s="18">
        <v>0</v>
      </c>
      <c r="I22" s="18" t="s">
        <v>17</v>
      </c>
      <c r="J22" s="27">
        <v>0.82353032547829097</v>
      </c>
      <c r="K22" s="27">
        <v>7.3929054570608503</v>
      </c>
      <c r="L22" s="18">
        <v>4710334</v>
      </c>
      <c r="M22" s="18">
        <v>1</v>
      </c>
      <c r="N22" s="27">
        <v>353.62566455199999</v>
      </c>
      <c r="O22" s="18" t="s">
        <v>22</v>
      </c>
      <c r="P22" s="18" t="s">
        <v>18</v>
      </c>
      <c r="Q22" s="18">
        <v>300</v>
      </c>
      <c r="R22" s="18">
        <v>4200</v>
      </c>
      <c r="S22" s="27">
        <v>2466.9231284523225</v>
      </c>
      <c r="T22" s="18" t="s">
        <v>19</v>
      </c>
      <c r="U22" s="27">
        <f t="shared" si="0"/>
        <v>-50.922878412176999</v>
      </c>
      <c r="V22" s="28">
        <v>3.241868562077764E-2</v>
      </c>
    </row>
    <row r="23" spans="1:22" x14ac:dyDescent="0.3">
      <c r="A23" s="19">
        <v>21</v>
      </c>
      <c r="B23" s="18" t="s">
        <v>15</v>
      </c>
      <c r="C23" s="18" t="s">
        <v>16</v>
      </c>
      <c r="D23" s="18">
        <v>5</v>
      </c>
      <c r="E23" s="27">
        <v>14.92453525796043</v>
      </c>
      <c r="F23" s="18">
        <v>382</v>
      </c>
      <c r="G23" s="27">
        <v>117.46947672472901</v>
      </c>
      <c r="H23" s="18">
        <v>0</v>
      </c>
      <c r="I23" s="18" t="s">
        <v>17</v>
      </c>
      <c r="J23" s="27">
        <v>0.99643271010774603</v>
      </c>
      <c r="K23" s="27">
        <v>7.4424080898244798</v>
      </c>
      <c r="L23" s="18">
        <v>4892888</v>
      </c>
      <c r="M23" s="18">
        <v>1</v>
      </c>
      <c r="N23" s="27">
        <v>302.14623877650598</v>
      </c>
      <c r="O23" s="18" t="s">
        <v>22</v>
      </c>
      <c r="P23" s="18" t="s">
        <v>18</v>
      </c>
      <c r="Q23" s="18">
        <v>300</v>
      </c>
      <c r="R23" s="18">
        <v>4200</v>
      </c>
      <c r="S23" s="27">
        <v>799.47149240942053</v>
      </c>
      <c r="T23" s="18" t="s">
        <v>19</v>
      </c>
      <c r="U23" s="27">
        <f t="shared" si="0"/>
        <v>-62.530523275270994</v>
      </c>
      <c r="V23" s="28">
        <v>3.241868562077764E-2</v>
      </c>
    </row>
    <row r="24" spans="1:22" x14ac:dyDescent="0.3">
      <c r="A24" s="19">
        <v>22</v>
      </c>
      <c r="B24" s="18" t="s">
        <v>15</v>
      </c>
      <c r="C24" s="18" t="s">
        <v>16</v>
      </c>
      <c r="D24" s="18">
        <v>5</v>
      </c>
      <c r="E24" s="27">
        <v>14.92453525796043</v>
      </c>
      <c r="F24" s="18">
        <v>382</v>
      </c>
      <c r="G24" s="27">
        <v>45.252993756349603</v>
      </c>
      <c r="H24" s="18">
        <v>0</v>
      </c>
      <c r="I24" s="18" t="s">
        <v>17</v>
      </c>
      <c r="J24" s="27">
        <v>1.2254266621506</v>
      </c>
      <c r="K24" s="27">
        <v>8.4031224099679598</v>
      </c>
      <c r="L24" s="18">
        <v>1974894</v>
      </c>
      <c r="M24" s="18">
        <v>1</v>
      </c>
      <c r="N24" s="27">
        <v>347.43798273755402</v>
      </c>
      <c r="O24" s="18" t="s">
        <v>22</v>
      </c>
      <c r="P24" s="18" t="s">
        <v>18</v>
      </c>
      <c r="Q24" s="18">
        <v>300</v>
      </c>
      <c r="R24" s="18">
        <v>4200</v>
      </c>
      <c r="S24" s="27">
        <v>682.63977469694817</v>
      </c>
      <c r="T24" s="18" t="s">
        <v>19</v>
      </c>
      <c r="U24" s="27">
        <f t="shared" si="0"/>
        <v>-134.74700624365039</v>
      </c>
      <c r="V24" s="28">
        <v>3.241868562077764E-2</v>
      </c>
    </row>
    <row r="25" spans="1:22" x14ac:dyDescent="0.3">
      <c r="A25" s="19">
        <v>23</v>
      </c>
      <c r="B25" s="18" t="s">
        <v>15</v>
      </c>
      <c r="C25" s="18" t="s">
        <v>16</v>
      </c>
      <c r="D25" s="18">
        <v>5</v>
      </c>
      <c r="E25" s="27">
        <v>14.92453525796043</v>
      </c>
      <c r="F25" s="18">
        <v>382</v>
      </c>
      <c r="G25" s="27">
        <v>339.66990369507602</v>
      </c>
      <c r="H25" s="18">
        <v>0</v>
      </c>
      <c r="I25" s="18" t="s">
        <v>17</v>
      </c>
      <c r="J25" s="27">
        <v>0.96885414363993105</v>
      </c>
      <c r="K25" s="27">
        <v>5.78209062498662</v>
      </c>
      <c r="L25" s="18">
        <v>7405964</v>
      </c>
      <c r="M25" s="18">
        <v>1</v>
      </c>
      <c r="N25" s="27">
        <v>132.71590532687699</v>
      </c>
      <c r="O25" s="18" t="s">
        <v>22</v>
      </c>
      <c r="P25" s="18" t="s">
        <v>18</v>
      </c>
      <c r="Q25" s="18">
        <v>300</v>
      </c>
      <c r="R25" s="18">
        <v>4200</v>
      </c>
      <c r="S25" s="27">
        <v>1066.7775690604651</v>
      </c>
      <c r="T25" s="18" t="s">
        <v>19</v>
      </c>
      <c r="U25" s="27">
        <f t="shared" si="0"/>
        <v>159.66990369507602</v>
      </c>
      <c r="V25" s="28">
        <v>3.241868562077764E-2</v>
      </c>
    </row>
    <row r="26" spans="1:22" x14ac:dyDescent="0.3">
      <c r="A26" s="19">
        <v>24</v>
      </c>
      <c r="B26" s="18" t="s">
        <v>15</v>
      </c>
      <c r="C26" s="18" t="s">
        <v>16</v>
      </c>
      <c r="D26" s="18">
        <v>5</v>
      </c>
      <c r="E26" s="27">
        <v>14.92453525796043</v>
      </c>
      <c r="F26" s="18">
        <v>382</v>
      </c>
      <c r="G26" s="27">
        <v>76.925831140810203</v>
      </c>
      <c r="H26" s="18">
        <v>0</v>
      </c>
      <c r="I26" s="18" t="s">
        <v>17</v>
      </c>
      <c r="J26" s="27">
        <v>0.85343590618067</v>
      </c>
      <c r="K26" s="27">
        <v>6.8614317171924997</v>
      </c>
      <c r="L26" s="18">
        <v>258613</v>
      </c>
      <c r="M26" s="18">
        <v>1</v>
      </c>
      <c r="N26" s="27">
        <v>355.46476462861699</v>
      </c>
      <c r="O26" s="18" t="s">
        <v>22</v>
      </c>
      <c r="P26" s="18" t="s">
        <v>18</v>
      </c>
      <c r="Q26" s="18">
        <v>300</v>
      </c>
      <c r="R26" s="18">
        <v>4200</v>
      </c>
      <c r="S26" s="27">
        <v>1360.3860743064663</v>
      </c>
      <c r="T26" s="18" t="s">
        <v>19</v>
      </c>
      <c r="U26" s="27">
        <f t="shared" si="0"/>
        <v>-103.0741688591898</v>
      </c>
      <c r="V26" s="28">
        <v>3.241868562077764E-2</v>
      </c>
    </row>
    <row r="27" spans="1:22" x14ac:dyDescent="0.3">
      <c r="A27" s="19">
        <v>25</v>
      </c>
      <c r="B27" s="18" t="s">
        <v>15</v>
      </c>
      <c r="C27" s="18" t="s">
        <v>16</v>
      </c>
      <c r="D27" s="18">
        <v>5</v>
      </c>
      <c r="E27" s="27">
        <v>14.92453525796043</v>
      </c>
      <c r="F27" s="18">
        <v>382</v>
      </c>
      <c r="G27" s="27">
        <v>276.53598741437702</v>
      </c>
      <c r="H27" s="18">
        <v>0</v>
      </c>
      <c r="I27" s="18" t="s">
        <v>17</v>
      </c>
      <c r="J27" s="27">
        <v>1.0344877497273901</v>
      </c>
      <c r="K27" s="27">
        <v>7.3147210321593397</v>
      </c>
      <c r="L27" s="18">
        <v>3470833</v>
      </c>
      <c r="M27" s="18">
        <v>1</v>
      </c>
      <c r="N27" s="27">
        <v>335.264065533674</v>
      </c>
      <c r="O27" s="18" t="s">
        <v>22</v>
      </c>
      <c r="P27" s="18" t="s">
        <v>18</v>
      </c>
      <c r="Q27" s="18">
        <v>300</v>
      </c>
      <c r="R27" s="18">
        <v>4200</v>
      </c>
      <c r="S27" s="27">
        <v>5744.328068260791</v>
      </c>
      <c r="T27" s="18" t="s">
        <v>19</v>
      </c>
      <c r="U27" s="27">
        <f t="shared" si="0"/>
        <v>96.535987414377018</v>
      </c>
      <c r="V27" s="28">
        <v>3.241868562077764E-2</v>
      </c>
    </row>
    <row r="28" spans="1:22" x14ac:dyDescent="0.3">
      <c r="A28" s="19">
        <v>26</v>
      </c>
      <c r="B28" s="18" t="s">
        <v>15</v>
      </c>
      <c r="C28" s="18" t="s">
        <v>16</v>
      </c>
      <c r="D28" s="18">
        <v>6</v>
      </c>
      <c r="E28" s="27">
        <v>14.490824890187289</v>
      </c>
      <c r="F28" s="18">
        <v>502</v>
      </c>
      <c r="G28" s="27">
        <v>52.2268566326333</v>
      </c>
      <c r="H28" s="18">
        <v>0</v>
      </c>
      <c r="I28" s="18" t="s">
        <v>17</v>
      </c>
      <c r="J28" s="27">
        <v>1.0001575853031299</v>
      </c>
      <c r="K28" s="27">
        <v>5.5876684487924297</v>
      </c>
      <c r="L28" s="18">
        <v>5217784</v>
      </c>
      <c r="M28" s="18">
        <v>1</v>
      </c>
      <c r="N28" s="27">
        <v>96.849298673810495</v>
      </c>
      <c r="O28" s="18" t="s">
        <v>22</v>
      </c>
      <c r="P28" s="18" t="s">
        <v>18</v>
      </c>
      <c r="Q28" s="18">
        <v>300</v>
      </c>
      <c r="R28" s="18">
        <v>4200</v>
      </c>
      <c r="S28" s="27">
        <v>76.460548241145688</v>
      </c>
      <c r="T28" s="18" t="s">
        <v>19</v>
      </c>
      <c r="U28" s="27">
        <f t="shared" si="0"/>
        <v>-127.7731433673667</v>
      </c>
      <c r="V28" s="28">
        <v>3.890242274493317E-2</v>
      </c>
    </row>
    <row r="29" spans="1:22" x14ac:dyDescent="0.3">
      <c r="A29" s="19">
        <v>27</v>
      </c>
      <c r="B29" s="18" t="s">
        <v>15</v>
      </c>
      <c r="C29" s="18" t="s">
        <v>16</v>
      </c>
      <c r="D29" s="18">
        <v>6</v>
      </c>
      <c r="E29" s="27">
        <v>14.490824890187289</v>
      </c>
      <c r="F29" s="18">
        <v>502</v>
      </c>
      <c r="G29" s="27">
        <v>15.2548768528347</v>
      </c>
      <c r="H29" s="18">
        <v>0</v>
      </c>
      <c r="I29" s="18" t="s">
        <v>17</v>
      </c>
      <c r="J29" s="27">
        <v>1.76124274247566</v>
      </c>
      <c r="K29" s="27">
        <v>10.1131021460467</v>
      </c>
      <c r="L29" s="18">
        <v>860295</v>
      </c>
      <c r="M29" s="18">
        <v>1</v>
      </c>
      <c r="N29" s="27">
        <v>344.337060307515</v>
      </c>
      <c r="O29" s="18" t="s">
        <v>22</v>
      </c>
      <c r="P29" s="18" t="s">
        <v>18</v>
      </c>
      <c r="Q29" s="18">
        <v>300</v>
      </c>
      <c r="R29" s="18">
        <v>4200</v>
      </c>
      <c r="S29" s="27">
        <v>2154.9640916284538</v>
      </c>
      <c r="T29" s="18" t="s">
        <v>19</v>
      </c>
      <c r="U29" s="27">
        <f t="shared" si="0"/>
        <v>-164.74512314716529</v>
      </c>
      <c r="V29" s="28">
        <v>3.890242274493317E-2</v>
      </c>
    </row>
    <row r="30" spans="1:22" x14ac:dyDescent="0.3">
      <c r="A30" s="19">
        <v>28</v>
      </c>
      <c r="B30" s="18" t="s">
        <v>15</v>
      </c>
      <c r="C30" s="18" t="s">
        <v>16</v>
      </c>
      <c r="D30" s="18">
        <v>6</v>
      </c>
      <c r="E30" s="27">
        <v>14.490824890187289</v>
      </c>
      <c r="F30" s="18">
        <v>502</v>
      </c>
      <c r="G30" s="27">
        <v>181.42521235007001</v>
      </c>
      <c r="H30" s="18">
        <v>0</v>
      </c>
      <c r="I30" s="18" t="s">
        <v>17</v>
      </c>
      <c r="J30" s="27">
        <v>0.92900966955100595</v>
      </c>
      <c r="K30" s="27">
        <v>6.4579407860720703</v>
      </c>
      <c r="L30" s="18">
        <v>5226142</v>
      </c>
      <c r="M30" s="18">
        <v>1</v>
      </c>
      <c r="N30" s="27">
        <v>278.78885712187002</v>
      </c>
      <c r="O30" s="18" t="s">
        <v>22</v>
      </c>
      <c r="P30" s="18" t="s">
        <v>18</v>
      </c>
      <c r="Q30" s="18">
        <v>300</v>
      </c>
      <c r="R30" s="18">
        <v>4200</v>
      </c>
      <c r="S30" s="27">
        <v>1835.6648421734285</v>
      </c>
      <c r="T30" s="18" t="s">
        <v>19</v>
      </c>
      <c r="U30" s="27">
        <f t="shared" si="0"/>
        <v>1.4252123500700122</v>
      </c>
      <c r="V30" s="28">
        <v>3.890242274493317E-2</v>
      </c>
    </row>
    <row r="31" spans="1:22" x14ac:dyDescent="0.3">
      <c r="A31" s="19">
        <v>29</v>
      </c>
      <c r="B31" s="18" t="s">
        <v>15</v>
      </c>
      <c r="C31" s="18" t="s">
        <v>16</v>
      </c>
      <c r="D31" s="18">
        <v>6</v>
      </c>
      <c r="E31" s="27">
        <v>14.490824890187289</v>
      </c>
      <c r="F31" s="18">
        <v>502</v>
      </c>
      <c r="G31" s="27">
        <v>114.85597006283</v>
      </c>
      <c r="H31" s="18">
        <v>0</v>
      </c>
      <c r="I31" s="18" t="s">
        <v>17</v>
      </c>
      <c r="J31" s="27">
        <v>0.88535964337426698</v>
      </c>
      <c r="K31" s="27">
        <v>5.59713982994014</v>
      </c>
      <c r="L31" s="18">
        <v>5528894</v>
      </c>
      <c r="M31" s="18">
        <v>1</v>
      </c>
      <c r="N31" s="27">
        <v>184.709802060974</v>
      </c>
      <c r="O31" s="18" t="s">
        <v>22</v>
      </c>
      <c r="P31" s="18" t="s">
        <v>18</v>
      </c>
      <c r="Q31" s="18">
        <v>300</v>
      </c>
      <c r="R31" s="18">
        <v>4200</v>
      </c>
      <c r="S31" s="27">
        <v>834.94918679331124</v>
      </c>
      <c r="T31" s="18" t="s">
        <v>19</v>
      </c>
      <c r="U31" s="27">
        <f t="shared" si="0"/>
        <v>-65.144029937170004</v>
      </c>
      <c r="V31" s="28">
        <v>3.890242274493317E-2</v>
      </c>
    </row>
    <row r="32" spans="1:22" x14ac:dyDescent="0.3">
      <c r="A32" s="19">
        <v>30</v>
      </c>
      <c r="B32" s="18" t="s">
        <v>15</v>
      </c>
      <c r="C32" s="18" t="s">
        <v>16</v>
      </c>
      <c r="D32" s="18">
        <v>6</v>
      </c>
      <c r="E32" s="27">
        <v>14.490824890187289</v>
      </c>
      <c r="F32" s="18">
        <v>502</v>
      </c>
      <c r="G32" s="27">
        <v>102.798352252576</v>
      </c>
      <c r="H32" s="18">
        <v>0</v>
      </c>
      <c r="I32" s="18" t="s">
        <v>17</v>
      </c>
      <c r="J32" s="27">
        <v>0.92774787050929897</v>
      </c>
      <c r="K32" s="27">
        <v>5.89278730960321</v>
      </c>
      <c r="L32" s="18">
        <v>485962</v>
      </c>
      <c r="M32" s="18">
        <v>1</v>
      </c>
      <c r="N32" s="27">
        <v>45.756792480485998</v>
      </c>
      <c r="O32" s="18" t="s">
        <v>22</v>
      </c>
      <c r="P32" s="18" t="s">
        <v>18</v>
      </c>
      <c r="Q32" s="18">
        <v>300</v>
      </c>
      <c r="R32" s="18">
        <v>4200</v>
      </c>
      <c r="S32" s="27">
        <v>2238.7648525007435</v>
      </c>
      <c r="T32" s="18" t="s">
        <v>19</v>
      </c>
      <c r="U32" s="27">
        <f t="shared" si="0"/>
        <v>-77.201647747424005</v>
      </c>
      <c r="V32" s="28">
        <v>3.890242274493317E-2</v>
      </c>
    </row>
    <row r="33" spans="1:22" x14ac:dyDescent="0.3">
      <c r="A33" s="19">
        <v>31</v>
      </c>
      <c r="B33" s="18" t="s">
        <v>15</v>
      </c>
      <c r="C33" s="18" t="s">
        <v>16</v>
      </c>
      <c r="D33" s="18">
        <v>6</v>
      </c>
      <c r="E33" s="27">
        <v>14.490824890187289</v>
      </c>
      <c r="F33" s="18">
        <v>502</v>
      </c>
      <c r="G33" s="27">
        <v>179.19368478170301</v>
      </c>
      <c r="H33" s="18">
        <v>0</v>
      </c>
      <c r="I33" s="18" t="s">
        <v>17</v>
      </c>
      <c r="J33" s="27">
        <v>1.1201501955439099</v>
      </c>
      <c r="K33" s="27">
        <v>6.2839098554826602</v>
      </c>
      <c r="L33" s="18">
        <v>3337038</v>
      </c>
      <c r="M33" s="18">
        <v>1</v>
      </c>
      <c r="N33" s="27">
        <v>73.853256544372897</v>
      </c>
      <c r="O33" s="18" t="s">
        <v>22</v>
      </c>
      <c r="P33" s="18" t="s">
        <v>18</v>
      </c>
      <c r="Q33" s="18">
        <v>300</v>
      </c>
      <c r="R33" s="18">
        <v>4200</v>
      </c>
      <c r="S33" s="27">
        <v>1886.4346462055498</v>
      </c>
      <c r="T33" s="18" t="s">
        <v>19</v>
      </c>
      <c r="U33" s="27">
        <f t="shared" si="0"/>
        <v>-0.80631521829698727</v>
      </c>
      <c r="V33" s="28">
        <v>3.890242274493317E-2</v>
      </c>
    </row>
    <row r="34" spans="1:22" x14ac:dyDescent="0.3">
      <c r="A34" s="19">
        <v>32</v>
      </c>
      <c r="B34" s="18" t="s">
        <v>15</v>
      </c>
      <c r="C34" s="18" t="s">
        <v>16</v>
      </c>
      <c r="D34" s="18">
        <v>7</v>
      </c>
      <c r="E34" s="27">
        <v>14.05711452241415</v>
      </c>
      <c r="F34" s="18">
        <v>413</v>
      </c>
      <c r="G34" s="27">
        <v>68.786015038422804</v>
      </c>
      <c r="H34" s="18">
        <v>0</v>
      </c>
      <c r="I34" s="18" t="s">
        <v>17</v>
      </c>
      <c r="J34" s="27">
        <v>2.2377673494582599</v>
      </c>
      <c r="K34" s="27">
        <v>9.1277020127236099</v>
      </c>
      <c r="L34" s="18">
        <v>222396</v>
      </c>
      <c r="M34" s="18">
        <v>1</v>
      </c>
      <c r="N34" s="27">
        <v>282.922066597374</v>
      </c>
      <c r="O34" s="18" t="s">
        <v>22</v>
      </c>
      <c r="P34" s="18" t="s">
        <v>18</v>
      </c>
      <c r="Q34" s="18">
        <v>300</v>
      </c>
      <c r="R34" s="18">
        <v>4200</v>
      </c>
      <c r="S34" s="27">
        <v>44.041275786899895</v>
      </c>
      <c r="T34" s="18" t="s">
        <v>19</v>
      </c>
      <c r="U34" s="27">
        <f t="shared" si="0"/>
        <v>-111.2139849615772</v>
      </c>
      <c r="V34" s="28">
        <v>4.5386159869088692E-2</v>
      </c>
    </row>
    <row r="35" spans="1:22" x14ac:dyDescent="0.3">
      <c r="A35" s="19">
        <v>33</v>
      </c>
      <c r="B35" s="18" t="s">
        <v>15</v>
      </c>
      <c r="C35" s="18" t="s">
        <v>16</v>
      </c>
      <c r="D35" s="18">
        <v>7</v>
      </c>
      <c r="E35" s="27">
        <v>14.05711452241415</v>
      </c>
      <c r="F35" s="18">
        <v>413</v>
      </c>
      <c r="G35" s="27">
        <v>168.323436519517</v>
      </c>
      <c r="H35" s="18">
        <v>0</v>
      </c>
      <c r="I35" s="18" t="s">
        <v>17</v>
      </c>
      <c r="J35" s="27">
        <v>1.3604299490988401</v>
      </c>
      <c r="K35" s="27">
        <v>10.3371342724051</v>
      </c>
      <c r="L35" s="18">
        <v>2286373</v>
      </c>
      <c r="M35" s="18">
        <v>1</v>
      </c>
      <c r="N35" s="27">
        <v>334.07641129846701</v>
      </c>
      <c r="O35" s="18" t="s">
        <v>22</v>
      </c>
      <c r="P35" s="18" t="s">
        <v>18</v>
      </c>
      <c r="Q35" s="18">
        <v>300</v>
      </c>
      <c r="R35" s="18">
        <v>4200</v>
      </c>
      <c r="S35" s="27">
        <v>2559.2874707276305</v>
      </c>
      <c r="T35" s="18" t="s">
        <v>19</v>
      </c>
      <c r="U35" s="27">
        <f t="shared" si="0"/>
        <v>-11.676563480482997</v>
      </c>
      <c r="V35" s="28">
        <v>4.5386159869088692E-2</v>
      </c>
    </row>
    <row r="36" spans="1:22" x14ac:dyDescent="0.3">
      <c r="A36" s="19">
        <v>34</v>
      </c>
      <c r="B36" s="18" t="s">
        <v>15</v>
      </c>
      <c r="C36" s="18" t="s">
        <v>16</v>
      </c>
      <c r="D36" s="18">
        <v>7</v>
      </c>
      <c r="E36" s="27">
        <v>14.05711452241415</v>
      </c>
      <c r="F36" s="18">
        <v>413</v>
      </c>
      <c r="G36" s="27">
        <v>335.647924344496</v>
      </c>
      <c r="H36" s="18">
        <v>0</v>
      </c>
      <c r="I36" s="18" t="s">
        <v>17</v>
      </c>
      <c r="J36" s="27">
        <v>1.3178321239361299</v>
      </c>
      <c r="K36" s="27">
        <v>6.4681503757508496</v>
      </c>
      <c r="L36" s="18">
        <v>5138228</v>
      </c>
      <c r="M36" s="18">
        <v>1</v>
      </c>
      <c r="N36" s="27">
        <v>247.376437094843</v>
      </c>
      <c r="O36" s="18" t="s">
        <v>22</v>
      </c>
      <c r="P36" s="18" t="s">
        <v>18</v>
      </c>
      <c r="Q36" s="18">
        <v>300</v>
      </c>
      <c r="R36" s="18">
        <v>4200</v>
      </c>
      <c r="S36" s="27">
        <v>3244.9856673542295</v>
      </c>
      <c r="T36" s="18" t="s">
        <v>19</v>
      </c>
      <c r="U36" s="27">
        <f t="shared" si="0"/>
        <v>155.647924344496</v>
      </c>
      <c r="V36" s="28">
        <v>4.5386159869088692E-2</v>
      </c>
    </row>
    <row r="37" spans="1:22" x14ac:dyDescent="0.3">
      <c r="A37" s="19">
        <v>35</v>
      </c>
      <c r="B37" s="18" t="s">
        <v>15</v>
      </c>
      <c r="C37" s="18" t="s">
        <v>16</v>
      </c>
      <c r="D37" s="18">
        <v>7</v>
      </c>
      <c r="E37" s="27">
        <v>14.05711452241415</v>
      </c>
      <c r="F37" s="18">
        <v>413</v>
      </c>
      <c r="G37" s="27">
        <v>76.859143152194903</v>
      </c>
      <c r="H37" s="18">
        <v>0</v>
      </c>
      <c r="I37" s="18" t="s">
        <v>17</v>
      </c>
      <c r="J37" s="27">
        <v>0.838648136096105</v>
      </c>
      <c r="K37" s="27">
        <v>10.699752537581301</v>
      </c>
      <c r="L37" s="18">
        <v>653236</v>
      </c>
      <c r="M37" s="18">
        <v>1</v>
      </c>
      <c r="N37" s="27">
        <v>84.0223940764307</v>
      </c>
      <c r="O37" s="18" t="s">
        <v>22</v>
      </c>
      <c r="P37" s="18" t="s">
        <v>18</v>
      </c>
      <c r="Q37" s="18">
        <v>300</v>
      </c>
      <c r="R37" s="18">
        <v>4200</v>
      </c>
      <c r="S37" s="27">
        <v>25.690744209024931</v>
      </c>
      <c r="T37" s="18" t="s">
        <v>19</v>
      </c>
      <c r="U37" s="27">
        <f t="shared" si="0"/>
        <v>-103.1408568478051</v>
      </c>
      <c r="V37" s="28">
        <v>4.5386159869088692E-2</v>
      </c>
    </row>
    <row r="38" spans="1:22" x14ac:dyDescent="0.3">
      <c r="A38" s="19">
        <v>36</v>
      </c>
      <c r="B38" s="18" t="s">
        <v>15</v>
      </c>
      <c r="C38" s="18" t="s">
        <v>16</v>
      </c>
      <c r="D38" s="18">
        <v>7</v>
      </c>
      <c r="E38" s="27">
        <v>14.05711452241415</v>
      </c>
      <c r="F38" s="18">
        <v>413</v>
      </c>
      <c r="G38" s="27">
        <v>98.628649708676207</v>
      </c>
      <c r="H38" s="18">
        <v>0</v>
      </c>
      <c r="I38" s="18" t="s">
        <v>17</v>
      </c>
      <c r="J38" s="27">
        <v>1.5083506149572701</v>
      </c>
      <c r="K38" s="27">
        <v>10.1610595045907</v>
      </c>
      <c r="L38" s="18">
        <v>196940</v>
      </c>
      <c r="M38" s="18">
        <v>1</v>
      </c>
      <c r="N38" s="27">
        <v>350.20842337452501</v>
      </c>
      <c r="O38" s="18" t="s">
        <v>22</v>
      </c>
      <c r="P38" s="18" t="s">
        <v>18</v>
      </c>
      <c r="Q38" s="18">
        <v>300</v>
      </c>
      <c r="R38" s="18">
        <v>4200</v>
      </c>
      <c r="S38" s="27">
        <v>1488.8397953515914</v>
      </c>
      <c r="T38" s="18" t="s">
        <v>19</v>
      </c>
      <c r="U38" s="27">
        <f t="shared" si="0"/>
        <v>-81.371350291323793</v>
      </c>
      <c r="V38" s="28">
        <v>4.5386159869088692E-2</v>
      </c>
    </row>
    <row r="39" spans="1:22" x14ac:dyDescent="0.3">
      <c r="A39" s="19">
        <v>37</v>
      </c>
      <c r="B39" s="18" t="s">
        <v>15</v>
      </c>
      <c r="C39" s="18" t="s">
        <v>16</v>
      </c>
      <c r="D39" s="18">
        <v>7</v>
      </c>
      <c r="E39" s="27">
        <v>14.05711452241415</v>
      </c>
      <c r="F39" s="18">
        <v>413</v>
      </c>
      <c r="G39" s="27">
        <v>235.16381265898599</v>
      </c>
      <c r="H39" s="18">
        <v>0</v>
      </c>
      <c r="I39" s="18" t="s">
        <v>17</v>
      </c>
      <c r="J39" s="27">
        <v>1.2104358765571399</v>
      </c>
      <c r="K39" s="27">
        <v>7.8757922806300398</v>
      </c>
      <c r="L39" s="18">
        <v>9572707</v>
      </c>
      <c r="M39" s="18">
        <v>1</v>
      </c>
      <c r="N39" s="27">
        <v>306.51964085956001</v>
      </c>
      <c r="O39" s="18" t="s">
        <v>22</v>
      </c>
      <c r="P39" s="18" t="s">
        <v>18</v>
      </c>
      <c r="Q39" s="18">
        <v>300</v>
      </c>
      <c r="R39" s="18">
        <v>4200</v>
      </c>
      <c r="S39" s="27">
        <v>3531.8656443549917</v>
      </c>
      <c r="T39" s="18" t="s">
        <v>19</v>
      </c>
      <c r="U39" s="27">
        <f t="shared" si="0"/>
        <v>55.163812658985989</v>
      </c>
      <c r="V39" s="28">
        <v>4.5386159869088692E-2</v>
      </c>
    </row>
    <row r="40" spans="1:22" x14ac:dyDescent="0.3">
      <c r="A40" s="19">
        <v>38</v>
      </c>
      <c r="B40" s="18" t="s">
        <v>15</v>
      </c>
      <c r="C40" s="18" t="s">
        <v>16</v>
      </c>
      <c r="D40" s="18">
        <v>7</v>
      </c>
      <c r="E40" s="27">
        <v>14.05711452241415</v>
      </c>
      <c r="F40" s="18">
        <v>413</v>
      </c>
      <c r="G40" s="27">
        <v>63.902904505892799</v>
      </c>
      <c r="H40" s="18">
        <v>0</v>
      </c>
      <c r="I40" s="18" t="s">
        <v>17</v>
      </c>
      <c r="J40" s="27">
        <v>0.70427567439576999</v>
      </c>
      <c r="K40" s="27">
        <v>4.4755286490425501</v>
      </c>
      <c r="L40" s="18">
        <v>2582141</v>
      </c>
      <c r="M40" s="18">
        <v>1</v>
      </c>
      <c r="N40" s="27">
        <v>56.438674612939501</v>
      </c>
      <c r="O40" s="18" t="s">
        <v>22</v>
      </c>
      <c r="P40" s="18" t="s">
        <v>18</v>
      </c>
      <c r="Q40" s="18">
        <v>300</v>
      </c>
      <c r="R40" s="18">
        <v>4200</v>
      </c>
      <c r="S40" s="27">
        <v>257.51912647617883</v>
      </c>
      <c r="T40" s="18" t="s">
        <v>19</v>
      </c>
      <c r="U40" s="27">
        <f t="shared" si="0"/>
        <v>-116.09709549410721</v>
      </c>
      <c r="V40" s="28">
        <v>4.5386159869088692E-2</v>
      </c>
    </row>
    <row r="41" spans="1:22" x14ac:dyDescent="0.3">
      <c r="A41" s="19">
        <v>39</v>
      </c>
      <c r="B41" s="18" t="s">
        <v>15</v>
      </c>
      <c r="C41" s="18" t="s">
        <v>16</v>
      </c>
      <c r="D41" s="18">
        <v>7</v>
      </c>
      <c r="E41" s="27">
        <v>14.05711452241415</v>
      </c>
      <c r="F41" s="18">
        <v>413</v>
      </c>
      <c r="G41" s="27">
        <v>24.226990068193299</v>
      </c>
      <c r="H41" s="18">
        <v>0</v>
      </c>
      <c r="I41" s="18" t="s">
        <v>17</v>
      </c>
      <c r="J41" s="27">
        <v>1.1077734719471499</v>
      </c>
      <c r="K41" s="27">
        <v>5.9270045438946601</v>
      </c>
      <c r="L41" s="18">
        <v>1305387</v>
      </c>
      <c r="M41" s="18">
        <v>1</v>
      </c>
      <c r="N41" s="27">
        <v>26.619952540553701</v>
      </c>
      <c r="O41" s="18" t="s">
        <v>22</v>
      </c>
      <c r="P41" s="18" t="s">
        <v>18</v>
      </c>
      <c r="Q41" s="18">
        <v>300</v>
      </c>
      <c r="R41" s="18">
        <v>4200</v>
      </c>
      <c r="S41" s="27">
        <v>1698.6475397252957</v>
      </c>
      <c r="T41" s="18" t="s">
        <v>19</v>
      </c>
      <c r="U41" s="27">
        <f t="shared" si="0"/>
        <v>-155.77300993180671</v>
      </c>
      <c r="V41" s="28">
        <v>4.5386159869088692E-2</v>
      </c>
    </row>
    <row r="42" spans="1:22" x14ac:dyDescent="0.3">
      <c r="A42" s="19">
        <v>40</v>
      </c>
      <c r="B42" s="18" t="s">
        <v>15</v>
      </c>
      <c r="C42" s="18" t="s">
        <v>16</v>
      </c>
      <c r="D42" s="18">
        <v>7</v>
      </c>
      <c r="E42" s="27">
        <v>14.05711452241415</v>
      </c>
      <c r="F42" s="18">
        <v>413</v>
      </c>
      <c r="G42" s="27">
        <v>338.20323545725398</v>
      </c>
      <c r="H42" s="18">
        <v>0</v>
      </c>
      <c r="I42" s="18" t="s">
        <v>17</v>
      </c>
      <c r="J42" s="27">
        <v>1.1541722215408301</v>
      </c>
      <c r="K42" s="27">
        <v>6.4668611891467398</v>
      </c>
      <c r="L42" s="18">
        <v>5913635</v>
      </c>
      <c r="M42" s="18">
        <v>1</v>
      </c>
      <c r="N42" s="27">
        <v>343.76723360068002</v>
      </c>
      <c r="O42" s="18" t="s">
        <v>22</v>
      </c>
      <c r="P42" s="18" t="s">
        <v>18</v>
      </c>
      <c r="Q42" s="18">
        <v>300</v>
      </c>
      <c r="R42" s="18">
        <v>4200</v>
      </c>
      <c r="S42" s="27">
        <v>17015.836247777566</v>
      </c>
      <c r="T42" s="18" t="s">
        <v>19</v>
      </c>
      <c r="U42" s="27">
        <f t="shared" si="0"/>
        <v>158.20323545725398</v>
      </c>
      <c r="V42" s="28">
        <v>4.5386159869088692E-2</v>
      </c>
    </row>
    <row r="43" spans="1:22" x14ac:dyDescent="0.3">
      <c r="A43" s="19">
        <v>41</v>
      </c>
      <c r="B43" s="18" t="s">
        <v>15</v>
      </c>
      <c r="C43" s="18" t="s">
        <v>16</v>
      </c>
      <c r="D43" s="18">
        <v>8</v>
      </c>
      <c r="E43" s="27">
        <v>13.836544778155719</v>
      </c>
      <c r="F43" s="18">
        <v>242</v>
      </c>
      <c r="G43" s="27">
        <v>242.05181322634601</v>
      </c>
      <c r="H43" s="18">
        <v>0</v>
      </c>
      <c r="I43" s="18" t="s">
        <v>17</v>
      </c>
      <c r="J43" s="27">
        <v>1.02111457594723</v>
      </c>
      <c r="K43" s="27">
        <v>5.5353152718164802</v>
      </c>
      <c r="L43" s="18">
        <v>6137357</v>
      </c>
      <c r="M43" s="18">
        <v>1</v>
      </c>
      <c r="N43" s="27">
        <v>266.67730578525499</v>
      </c>
      <c r="O43" s="18" t="s">
        <v>22</v>
      </c>
      <c r="P43" s="18" t="s">
        <v>18</v>
      </c>
      <c r="Q43" s="18">
        <v>300</v>
      </c>
      <c r="R43" s="18">
        <v>4200</v>
      </c>
      <c r="S43" s="27">
        <v>5201.7640179416212</v>
      </c>
      <c r="T43" s="18" t="s">
        <v>19</v>
      </c>
      <c r="U43" s="27">
        <f t="shared" si="0"/>
        <v>62.051813226346013</v>
      </c>
      <c r="V43" s="28">
        <v>5.1869896993244229E-2</v>
      </c>
    </row>
    <row r="44" spans="1:22" x14ac:dyDescent="0.3">
      <c r="A44" s="19">
        <v>42</v>
      </c>
      <c r="B44" s="18" t="s">
        <v>15</v>
      </c>
      <c r="C44" s="18" t="s">
        <v>16</v>
      </c>
      <c r="D44" s="18">
        <v>8</v>
      </c>
      <c r="E44" s="27">
        <v>13.836544778155719</v>
      </c>
      <c r="F44" s="18">
        <v>242</v>
      </c>
      <c r="G44" s="27">
        <v>57.790222588442496</v>
      </c>
      <c r="H44" s="18">
        <v>0</v>
      </c>
      <c r="I44" s="18" t="s">
        <v>17</v>
      </c>
      <c r="J44" s="27">
        <v>1.78539921509882</v>
      </c>
      <c r="K44" s="27">
        <v>15.4528149950354</v>
      </c>
      <c r="L44" s="18">
        <v>2774767</v>
      </c>
      <c r="M44" s="18">
        <v>1</v>
      </c>
      <c r="N44" s="27">
        <v>39.518344818431601</v>
      </c>
      <c r="O44" s="18" t="s">
        <v>22</v>
      </c>
      <c r="P44" s="18" t="s">
        <v>18</v>
      </c>
      <c r="Q44" s="18">
        <v>300</v>
      </c>
      <c r="R44" s="18">
        <v>4200</v>
      </c>
      <c r="S44" s="27">
        <v>2.4467375437166519</v>
      </c>
      <c r="T44" s="18" t="s">
        <v>19</v>
      </c>
      <c r="U44" s="27">
        <f t="shared" si="0"/>
        <v>-122.2097774115575</v>
      </c>
      <c r="V44" s="28">
        <v>5.1869896993244229E-2</v>
      </c>
    </row>
    <row r="45" spans="1:22" x14ac:dyDescent="0.3">
      <c r="A45" s="19">
        <v>43</v>
      </c>
      <c r="B45" s="18" t="s">
        <v>15</v>
      </c>
      <c r="C45" s="18" t="s">
        <v>16</v>
      </c>
      <c r="D45" s="18">
        <v>8</v>
      </c>
      <c r="E45" s="27">
        <v>13.836544778155719</v>
      </c>
      <c r="F45" s="18">
        <v>242</v>
      </c>
      <c r="G45" s="27">
        <v>102.64355350485501</v>
      </c>
      <c r="H45" s="18">
        <v>0</v>
      </c>
      <c r="I45" s="18" t="s">
        <v>17</v>
      </c>
      <c r="J45" s="27">
        <v>1.0486093477132401</v>
      </c>
      <c r="K45" s="27">
        <v>5.4415060402838398</v>
      </c>
      <c r="L45" s="18">
        <v>3924071</v>
      </c>
      <c r="M45" s="18">
        <v>1</v>
      </c>
      <c r="N45" s="27">
        <v>128.48188221944599</v>
      </c>
      <c r="O45" s="18" t="s">
        <v>22</v>
      </c>
      <c r="P45" s="18" t="s">
        <v>18</v>
      </c>
      <c r="Q45" s="18">
        <v>300</v>
      </c>
      <c r="R45" s="18">
        <v>4200</v>
      </c>
      <c r="S45" s="27">
        <v>1446.6335727224778</v>
      </c>
      <c r="T45" s="18" t="s">
        <v>19</v>
      </c>
      <c r="U45" s="27">
        <f t="shared" si="0"/>
        <v>-77.356446495144993</v>
      </c>
      <c r="V45" s="28">
        <v>5.1869896993244229E-2</v>
      </c>
    </row>
    <row r="46" spans="1:22" x14ac:dyDescent="0.3">
      <c r="A46" s="19">
        <v>44</v>
      </c>
      <c r="B46" s="18" t="s">
        <v>15</v>
      </c>
      <c r="C46" s="18" t="s">
        <v>16</v>
      </c>
      <c r="D46" s="18">
        <v>8</v>
      </c>
      <c r="E46" s="27">
        <v>13.836544778155719</v>
      </c>
      <c r="F46" s="18">
        <v>242</v>
      </c>
      <c r="G46" s="27">
        <v>184.98708343634399</v>
      </c>
      <c r="H46" s="18">
        <v>0</v>
      </c>
      <c r="I46" s="18" t="s">
        <v>17</v>
      </c>
      <c r="J46" s="27">
        <v>1.00020810902233</v>
      </c>
      <c r="K46" s="27">
        <v>5.4858933849676896</v>
      </c>
      <c r="L46" s="18">
        <v>9660334</v>
      </c>
      <c r="M46" s="18">
        <v>1</v>
      </c>
      <c r="N46" s="27">
        <v>223.001308469213</v>
      </c>
      <c r="O46" s="18" t="s">
        <v>22</v>
      </c>
      <c r="P46" s="18" t="s">
        <v>18</v>
      </c>
      <c r="Q46" s="18">
        <v>300</v>
      </c>
      <c r="R46" s="18">
        <v>4200</v>
      </c>
      <c r="S46" s="27">
        <v>3324.5046375250031</v>
      </c>
      <c r="T46" s="18" t="s">
        <v>19</v>
      </c>
      <c r="U46" s="27">
        <f t="shared" si="0"/>
        <v>4.987083436343994</v>
      </c>
      <c r="V46" s="28">
        <v>5.1869896993244229E-2</v>
      </c>
    </row>
    <row r="47" spans="1:22" x14ac:dyDescent="0.3">
      <c r="A47" s="19">
        <v>45</v>
      </c>
      <c r="B47" s="18" t="s">
        <v>15</v>
      </c>
      <c r="C47" s="18" t="s">
        <v>16</v>
      </c>
      <c r="D47" s="18">
        <v>8</v>
      </c>
      <c r="E47" s="27">
        <v>13.836544778155719</v>
      </c>
      <c r="F47" s="18">
        <v>242</v>
      </c>
      <c r="G47" s="27">
        <v>309.03436385342798</v>
      </c>
      <c r="H47" s="18">
        <v>0</v>
      </c>
      <c r="I47" s="18" t="s">
        <v>17</v>
      </c>
      <c r="J47" s="27">
        <v>1.9490266986634299</v>
      </c>
      <c r="K47" s="27">
        <v>10.3844840124375</v>
      </c>
      <c r="L47" s="18">
        <v>8231018</v>
      </c>
      <c r="M47" s="18">
        <v>1</v>
      </c>
      <c r="N47" s="27">
        <v>329.75617636082399</v>
      </c>
      <c r="O47" s="18" t="s">
        <v>22</v>
      </c>
      <c r="P47" s="18" t="s">
        <v>18</v>
      </c>
      <c r="Q47" s="18">
        <v>300</v>
      </c>
      <c r="R47" s="18">
        <v>4200</v>
      </c>
      <c r="S47" s="27">
        <v>7809.986239543593</v>
      </c>
      <c r="T47" s="18" t="s">
        <v>19</v>
      </c>
      <c r="U47" s="27">
        <f t="shared" si="0"/>
        <v>129.03436385342798</v>
      </c>
      <c r="V47" s="28">
        <v>5.1869896993244229E-2</v>
      </c>
    </row>
    <row r="48" spans="1:22" x14ac:dyDescent="0.3">
      <c r="A48" s="19">
        <v>46</v>
      </c>
      <c r="B48" s="18" t="s">
        <v>15</v>
      </c>
      <c r="C48" s="18" t="s">
        <v>16</v>
      </c>
      <c r="D48" s="18">
        <v>8</v>
      </c>
      <c r="E48" s="27">
        <v>13.836544778155719</v>
      </c>
      <c r="F48" s="18">
        <v>242</v>
      </c>
      <c r="G48" s="27">
        <v>61.288371488612</v>
      </c>
      <c r="H48" s="18">
        <v>0</v>
      </c>
      <c r="I48" s="18" t="s">
        <v>17</v>
      </c>
      <c r="J48" s="27">
        <v>0.709700259743685</v>
      </c>
      <c r="K48" s="27">
        <v>4.3194283434612704</v>
      </c>
      <c r="L48" s="18">
        <v>8572457</v>
      </c>
      <c r="M48" s="18">
        <v>1</v>
      </c>
      <c r="N48" s="27">
        <v>25.541808845166202</v>
      </c>
      <c r="O48" s="18" t="s">
        <v>22</v>
      </c>
      <c r="P48" s="18" t="s">
        <v>18</v>
      </c>
      <c r="Q48" s="18">
        <v>300</v>
      </c>
      <c r="R48" s="18">
        <v>4200</v>
      </c>
      <c r="S48" s="27">
        <v>118.05508648432902</v>
      </c>
      <c r="T48" s="18" t="s">
        <v>19</v>
      </c>
      <c r="U48" s="27">
        <f t="shared" si="0"/>
        <v>-118.711628511388</v>
      </c>
      <c r="V48" s="28">
        <v>5.1869896993244229E-2</v>
      </c>
    </row>
    <row r="49" spans="1:22" x14ac:dyDescent="0.3">
      <c r="A49" s="19">
        <v>47</v>
      </c>
      <c r="B49" s="18" t="s">
        <v>15</v>
      </c>
      <c r="C49" s="18" t="s">
        <v>16</v>
      </c>
      <c r="D49" s="18">
        <v>8</v>
      </c>
      <c r="E49" s="27">
        <v>13.836544778155719</v>
      </c>
      <c r="F49" s="18">
        <v>242</v>
      </c>
      <c r="G49" s="27">
        <v>43.319547952223303</v>
      </c>
      <c r="H49" s="18">
        <v>0</v>
      </c>
      <c r="I49" s="18" t="s">
        <v>17</v>
      </c>
      <c r="J49" s="27">
        <v>1.4967586568783799</v>
      </c>
      <c r="K49" s="27">
        <v>6.5732157419313904</v>
      </c>
      <c r="L49" s="18">
        <v>6098077</v>
      </c>
      <c r="M49" s="18">
        <v>1</v>
      </c>
      <c r="N49" s="27">
        <v>56.955983962414699</v>
      </c>
      <c r="O49" s="18" t="s">
        <v>22</v>
      </c>
      <c r="P49" s="18" t="s">
        <v>18</v>
      </c>
      <c r="Q49" s="18">
        <v>300</v>
      </c>
      <c r="R49" s="18">
        <v>4200</v>
      </c>
      <c r="S49" s="27">
        <v>1041.6985092373695</v>
      </c>
      <c r="T49" s="18" t="s">
        <v>19</v>
      </c>
      <c r="U49" s="27">
        <f t="shared" si="0"/>
        <v>-136.6804520477767</v>
      </c>
      <c r="V49" s="28">
        <v>5.1869896993244229E-2</v>
      </c>
    </row>
    <row r="50" spans="1:22" x14ac:dyDescent="0.3">
      <c r="A50" s="19">
        <v>48</v>
      </c>
      <c r="B50" s="18" t="s">
        <v>15</v>
      </c>
      <c r="C50" s="18" t="s">
        <v>16</v>
      </c>
      <c r="D50" s="18">
        <v>9</v>
      </c>
      <c r="E50" s="27">
        <v>13.615975033897289</v>
      </c>
      <c r="F50" s="18">
        <v>954</v>
      </c>
      <c r="G50" s="27">
        <v>151.36502711881801</v>
      </c>
      <c r="H50" s="18">
        <v>0</v>
      </c>
      <c r="I50" s="18" t="s">
        <v>17</v>
      </c>
      <c r="J50" s="27">
        <v>1.29341852102862</v>
      </c>
      <c r="K50" s="27">
        <v>7.0622989783064396</v>
      </c>
      <c r="L50" s="18">
        <v>4898410</v>
      </c>
      <c r="M50" s="18">
        <v>1</v>
      </c>
      <c r="N50" s="27">
        <v>209.002500304161</v>
      </c>
      <c r="O50" s="18" t="s">
        <v>22</v>
      </c>
      <c r="P50" s="18" t="s">
        <v>18</v>
      </c>
      <c r="Q50" s="18">
        <v>300</v>
      </c>
      <c r="R50" s="18">
        <v>4200</v>
      </c>
      <c r="S50" s="27">
        <v>1262.5165725577992</v>
      </c>
      <c r="T50" s="18" t="s">
        <v>19</v>
      </c>
      <c r="U50" s="27">
        <f t="shared" si="0"/>
        <v>-28.634972881181994</v>
      </c>
      <c r="V50" s="28">
        <v>5.8353634117399758E-2</v>
      </c>
    </row>
    <row r="51" spans="1:22" x14ac:dyDescent="0.3">
      <c r="A51" s="19">
        <v>49</v>
      </c>
      <c r="B51" s="18" t="s">
        <v>15</v>
      </c>
      <c r="C51" s="18" t="s">
        <v>16</v>
      </c>
      <c r="D51" s="18">
        <v>9</v>
      </c>
      <c r="E51" s="27">
        <v>13.615975033897289</v>
      </c>
      <c r="F51" s="18">
        <v>954</v>
      </c>
      <c r="G51" s="27">
        <v>252.291264257428</v>
      </c>
      <c r="H51" s="18">
        <v>0</v>
      </c>
      <c r="I51" s="18" t="s">
        <v>17</v>
      </c>
      <c r="J51" s="27">
        <v>1.5474220807712</v>
      </c>
      <c r="K51" s="27">
        <v>6.6494351067542796</v>
      </c>
      <c r="L51" s="18">
        <v>5090915</v>
      </c>
      <c r="M51" s="18">
        <v>1</v>
      </c>
      <c r="N51" s="27">
        <v>200.16786423899501</v>
      </c>
      <c r="O51" s="18" t="s">
        <v>22</v>
      </c>
      <c r="P51" s="18" t="s">
        <v>18</v>
      </c>
      <c r="Q51" s="18">
        <v>300</v>
      </c>
      <c r="R51" s="18">
        <v>4200</v>
      </c>
      <c r="S51" s="27">
        <v>3918.4501762622394</v>
      </c>
      <c r="T51" s="18" t="s">
        <v>19</v>
      </c>
      <c r="U51" s="27">
        <f t="shared" si="0"/>
        <v>72.291264257427997</v>
      </c>
      <c r="V51" s="28">
        <v>5.8353634117399758E-2</v>
      </c>
    </row>
    <row r="52" spans="1:22" x14ac:dyDescent="0.3">
      <c r="A52" s="19">
        <v>50</v>
      </c>
      <c r="B52" s="18" t="s">
        <v>15</v>
      </c>
      <c r="C52" s="18" t="s">
        <v>16</v>
      </c>
      <c r="D52" s="18">
        <v>9</v>
      </c>
      <c r="E52" s="27">
        <v>13.615975033897289</v>
      </c>
      <c r="F52" s="18">
        <v>954</v>
      </c>
      <c r="G52" s="27">
        <v>270.81040285189999</v>
      </c>
      <c r="H52" s="18">
        <v>0</v>
      </c>
      <c r="I52" s="18" t="s">
        <v>17</v>
      </c>
      <c r="J52" s="27">
        <v>1.3108841368811299</v>
      </c>
      <c r="K52" s="27">
        <v>5.9697223504591896</v>
      </c>
      <c r="L52" s="18">
        <v>7243642</v>
      </c>
      <c r="M52" s="18">
        <v>1</v>
      </c>
      <c r="N52" s="27">
        <v>241.620278333111</v>
      </c>
      <c r="O52" s="18" t="s">
        <v>22</v>
      </c>
      <c r="P52" s="18" t="s">
        <v>18</v>
      </c>
      <c r="Q52" s="18">
        <v>300</v>
      </c>
      <c r="R52" s="18">
        <v>4200</v>
      </c>
      <c r="S52" s="27">
        <v>5968.8162378968027</v>
      </c>
      <c r="T52" s="18" t="s">
        <v>19</v>
      </c>
      <c r="U52" s="27">
        <f t="shared" si="0"/>
        <v>90.810402851899994</v>
      </c>
      <c r="V52" s="28">
        <v>5.8353634117399758E-2</v>
      </c>
    </row>
    <row r="53" spans="1:22" x14ac:dyDescent="0.3">
      <c r="A53" s="19">
        <v>51</v>
      </c>
      <c r="B53" s="18" t="s">
        <v>15</v>
      </c>
      <c r="C53" s="18" t="s">
        <v>16</v>
      </c>
      <c r="D53" s="18">
        <v>9</v>
      </c>
      <c r="E53" s="27">
        <v>13.615975033897289</v>
      </c>
      <c r="F53" s="18">
        <v>954</v>
      </c>
      <c r="G53" s="27">
        <v>63.862470131627603</v>
      </c>
      <c r="H53" s="18">
        <v>0</v>
      </c>
      <c r="I53" s="18" t="s">
        <v>17</v>
      </c>
      <c r="J53" s="27">
        <v>3.03381873561966</v>
      </c>
      <c r="K53" s="27">
        <v>11.7556694532003</v>
      </c>
      <c r="L53" s="18">
        <v>9621850</v>
      </c>
      <c r="M53" s="18">
        <v>1</v>
      </c>
      <c r="N53" s="27">
        <v>341.28881944249503</v>
      </c>
      <c r="O53" s="18" t="s">
        <v>22</v>
      </c>
      <c r="P53" s="18" t="s">
        <v>18</v>
      </c>
      <c r="Q53" s="18">
        <v>300</v>
      </c>
      <c r="R53" s="18">
        <v>4200</v>
      </c>
      <c r="S53" s="27">
        <v>84.412445258224992</v>
      </c>
      <c r="T53" s="18" t="s">
        <v>19</v>
      </c>
      <c r="U53" s="27">
        <f t="shared" si="0"/>
        <v>-116.1375298683724</v>
      </c>
      <c r="V53" s="28">
        <v>5.8353634117399758E-2</v>
      </c>
    </row>
    <row r="54" spans="1:22" x14ac:dyDescent="0.3">
      <c r="A54" s="19">
        <v>52</v>
      </c>
      <c r="B54" s="18" t="s">
        <v>15</v>
      </c>
      <c r="C54" s="18" t="s">
        <v>16</v>
      </c>
      <c r="D54" s="18">
        <v>9</v>
      </c>
      <c r="E54" s="27">
        <v>13.615975033897289</v>
      </c>
      <c r="F54" s="18">
        <v>954</v>
      </c>
      <c r="G54" s="27">
        <v>204.94705559432899</v>
      </c>
      <c r="H54" s="18">
        <v>0</v>
      </c>
      <c r="I54" s="18" t="s">
        <v>17</v>
      </c>
      <c r="J54" s="27">
        <v>1.2925159836597599</v>
      </c>
      <c r="K54" s="27">
        <v>5.8152340053659701</v>
      </c>
      <c r="L54" s="18">
        <v>5421517</v>
      </c>
      <c r="M54" s="18">
        <v>1</v>
      </c>
      <c r="N54" s="27">
        <v>158.523383259377</v>
      </c>
      <c r="O54" s="18" t="s">
        <v>22</v>
      </c>
      <c r="P54" s="18" t="s">
        <v>18</v>
      </c>
      <c r="Q54" s="18">
        <v>300</v>
      </c>
      <c r="R54" s="18">
        <v>4200</v>
      </c>
      <c r="S54" s="27">
        <v>2934.8616836881292</v>
      </c>
      <c r="T54" s="18" t="s">
        <v>19</v>
      </c>
      <c r="U54" s="27">
        <f t="shared" si="0"/>
        <v>24.947055594328987</v>
      </c>
      <c r="V54" s="28">
        <v>5.8353634117399758E-2</v>
      </c>
    </row>
    <row r="55" spans="1:22" x14ac:dyDescent="0.3">
      <c r="A55" s="19">
        <v>53</v>
      </c>
      <c r="B55" s="18" t="s">
        <v>15</v>
      </c>
      <c r="C55" s="18" t="s">
        <v>16</v>
      </c>
      <c r="D55" s="18">
        <v>9</v>
      </c>
      <c r="E55" s="27">
        <v>13.615975033897289</v>
      </c>
      <c r="F55" s="18">
        <v>954</v>
      </c>
      <c r="G55" s="27">
        <v>67.7426804587693</v>
      </c>
      <c r="H55" s="18">
        <v>0</v>
      </c>
      <c r="I55" s="18" t="s">
        <v>17</v>
      </c>
      <c r="J55" s="27">
        <v>1.45591317486205</v>
      </c>
      <c r="K55" s="27">
        <v>7.5173298926339003</v>
      </c>
      <c r="L55" s="18">
        <v>7674944</v>
      </c>
      <c r="M55" s="18">
        <v>1</v>
      </c>
      <c r="N55" s="27">
        <v>25.6048340238032</v>
      </c>
      <c r="O55" s="18" t="s">
        <v>22</v>
      </c>
      <c r="P55" s="18" t="s">
        <v>18</v>
      </c>
      <c r="Q55" s="18">
        <v>300</v>
      </c>
      <c r="R55" s="18">
        <v>4200</v>
      </c>
      <c r="S55" s="27">
        <v>348.04841559369459</v>
      </c>
      <c r="T55" s="18" t="s">
        <v>19</v>
      </c>
      <c r="U55" s="27">
        <f t="shared" si="0"/>
        <v>-112.2573195412307</v>
      </c>
      <c r="V55" s="28">
        <v>5.8353634117399758E-2</v>
      </c>
    </row>
    <row r="56" spans="1:22" x14ac:dyDescent="0.3">
      <c r="A56" s="19">
        <v>54</v>
      </c>
      <c r="B56" s="18" t="s">
        <v>15</v>
      </c>
      <c r="C56" s="18" t="s">
        <v>16</v>
      </c>
      <c r="D56" s="18">
        <v>9</v>
      </c>
      <c r="E56" s="27">
        <v>13.615975033897289</v>
      </c>
      <c r="F56" s="18">
        <v>954</v>
      </c>
      <c r="G56" s="27">
        <v>71.300086563123898</v>
      </c>
      <c r="H56" s="18">
        <v>0</v>
      </c>
      <c r="I56" s="18" t="s">
        <v>17</v>
      </c>
      <c r="J56" s="27">
        <v>1.41029711115975</v>
      </c>
      <c r="K56" s="27">
        <v>6.2048331775205696</v>
      </c>
      <c r="L56" s="18">
        <v>3732328</v>
      </c>
      <c r="M56" s="18">
        <v>1</v>
      </c>
      <c r="N56" s="27">
        <v>66.5152659503038</v>
      </c>
      <c r="O56" s="18" t="s">
        <v>22</v>
      </c>
      <c r="P56" s="18" t="s">
        <v>18</v>
      </c>
      <c r="Q56" s="18">
        <v>300</v>
      </c>
      <c r="R56" s="18">
        <v>4200</v>
      </c>
      <c r="S56" s="27">
        <v>879.60214696614082</v>
      </c>
      <c r="T56" s="18" t="s">
        <v>19</v>
      </c>
      <c r="U56" s="27">
        <f t="shared" si="0"/>
        <v>-108.6999134368761</v>
      </c>
      <c r="V56" s="28">
        <v>5.8353634117399758E-2</v>
      </c>
    </row>
    <row r="57" spans="1:22" x14ac:dyDescent="0.3">
      <c r="A57" s="19">
        <v>55</v>
      </c>
      <c r="B57" s="18" t="s">
        <v>15</v>
      </c>
      <c r="C57" s="18" t="s">
        <v>16</v>
      </c>
      <c r="D57" s="18">
        <v>9</v>
      </c>
      <c r="E57" s="27">
        <v>13.615975033897289</v>
      </c>
      <c r="F57" s="18">
        <v>954</v>
      </c>
      <c r="G57" s="27">
        <v>246.61682813094001</v>
      </c>
      <c r="H57" s="18">
        <v>0</v>
      </c>
      <c r="I57" s="18" t="s">
        <v>17</v>
      </c>
      <c r="J57" s="27">
        <v>2.0208277252319</v>
      </c>
      <c r="K57" s="27">
        <v>11.667538260615</v>
      </c>
      <c r="L57" s="18">
        <v>2828577</v>
      </c>
      <c r="M57" s="18">
        <v>1</v>
      </c>
      <c r="N57" s="27">
        <v>318.674112454907</v>
      </c>
      <c r="O57" s="18" t="s">
        <v>22</v>
      </c>
      <c r="P57" s="18" t="s">
        <v>18</v>
      </c>
      <c r="Q57" s="18">
        <v>300</v>
      </c>
      <c r="R57" s="18">
        <v>4200</v>
      </c>
      <c r="S57" s="27">
        <v>3374.0510727852638</v>
      </c>
      <c r="T57" s="18" t="s">
        <v>19</v>
      </c>
      <c r="U57" s="27">
        <f t="shared" si="0"/>
        <v>66.616828130940007</v>
      </c>
      <c r="V57" s="28">
        <v>5.8353634117399758E-2</v>
      </c>
    </row>
    <row r="58" spans="1:22" x14ac:dyDescent="0.3">
      <c r="A58" s="19">
        <v>56</v>
      </c>
      <c r="B58" s="18" t="s">
        <v>15</v>
      </c>
      <c r="C58" s="18" t="s">
        <v>16</v>
      </c>
      <c r="D58" s="18">
        <v>9</v>
      </c>
      <c r="E58" s="27">
        <v>13.615975033897289</v>
      </c>
      <c r="F58" s="18">
        <v>954</v>
      </c>
      <c r="G58" s="27">
        <v>218.469731690559</v>
      </c>
      <c r="H58" s="18">
        <v>0</v>
      </c>
      <c r="I58" s="18" t="s">
        <v>17</v>
      </c>
      <c r="J58" s="27">
        <v>1.13681849613312</v>
      </c>
      <c r="K58" s="27">
        <v>5.5461607912928503</v>
      </c>
      <c r="L58" s="18">
        <v>5945917</v>
      </c>
      <c r="M58" s="18">
        <v>1</v>
      </c>
      <c r="N58" s="27">
        <v>217.96161652006501</v>
      </c>
      <c r="O58" s="18" t="s">
        <v>22</v>
      </c>
      <c r="P58" s="18" t="s">
        <v>18</v>
      </c>
      <c r="Q58" s="18">
        <v>300</v>
      </c>
      <c r="R58" s="18">
        <v>4200</v>
      </c>
      <c r="S58" s="27">
        <v>6764.0059396047072</v>
      </c>
      <c r="T58" s="18" t="s">
        <v>19</v>
      </c>
      <c r="U58" s="27">
        <f t="shared" si="0"/>
        <v>38.469731690559001</v>
      </c>
      <c r="V58" s="28">
        <v>5.8353634117399758E-2</v>
      </c>
    </row>
    <row r="59" spans="1:22" x14ac:dyDescent="0.3">
      <c r="A59" s="19">
        <v>57</v>
      </c>
      <c r="B59" s="18" t="s">
        <v>15</v>
      </c>
      <c r="C59" s="18" t="s">
        <v>16</v>
      </c>
      <c r="D59" s="18">
        <v>9</v>
      </c>
      <c r="E59" s="27">
        <v>13.615975033897289</v>
      </c>
      <c r="F59" s="18">
        <v>954</v>
      </c>
      <c r="G59" s="27">
        <v>301.06253427042998</v>
      </c>
      <c r="H59" s="18">
        <v>0</v>
      </c>
      <c r="I59" s="18" t="s">
        <v>17</v>
      </c>
      <c r="J59" s="27">
        <v>1.3984347802079899</v>
      </c>
      <c r="K59" s="27">
        <v>6.2734510863754203</v>
      </c>
      <c r="L59" s="18">
        <v>9119545</v>
      </c>
      <c r="M59" s="18">
        <v>1</v>
      </c>
      <c r="N59" s="27">
        <v>295.89532420413002</v>
      </c>
      <c r="O59" s="18" t="s">
        <v>22</v>
      </c>
      <c r="P59" s="18" t="s">
        <v>18</v>
      </c>
      <c r="Q59" s="18">
        <v>300</v>
      </c>
      <c r="R59" s="18">
        <v>4200</v>
      </c>
      <c r="S59" s="27">
        <v>9491.5066164628715</v>
      </c>
      <c r="T59" s="18" t="s">
        <v>19</v>
      </c>
      <c r="U59" s="27">
        <f t="shared" si="0"/>
        <v>121.06253427042998</v>
      </c>
      <c r="V59" s="28">
        <v>5.8353634117399758E-2</v>
      </c>
    </row>
    <row r="60" spans="1:22" x14ac:dyDescent="0.3">
      <c r="A60" s="19">
        <v>58</v>
      </c>
      <c r="B60" s="18" t="s">
        <v>15</v>
      </c>
      <c r="C60" s="18" t="s">
        <v>16</v>
      </c>
      <c r="D60" s="18">
        <v>9</v>
      </c>
      <c r="E60" s="27">
        <v>13.615975033897289</v>
      </c>
      <c r="F60" s="18">
        <v>954</v>
      </c>
      <c r="G60" s="27">
        <v>126.221403723183</v>
      </c>
      <c r="H60" s="18">
        <v>0</v>
      </c>
      <c r="I60" s="18" t="s">
        <v>17</v>
      </c>
      <c r="J60" s="27">
        <v>1.2749638076574401</v>
      </c>
      <c r="K60" s="27">
        <v>10.7709878387336</v>
      </c>
      <c r="L60" s="18">
        <v>1533768</v>
      </c>
      <c r="M60" s="18">
        <v>1</v>
      </c>
      <c r="N60" s="27">
        <v>134.813794778155</v>
      </c>
      <c r="O60" s="18" t="s">
        <v>22</v>
      </c>
      <c r="P60" s="18" t="s">
        <v>18</v>
      </c>
      <c r="Q60" s="18">
        <v>300</v>
      </c>
      <c r="R60" s="18">
        <v>4200</v>
      </c>
      <c r="S60" s="27">
        <v>217.14795700485416</v>
      </c>
      <c r="T60" s="18" t="s">
        <v>19</v>
      </c>
      <c r="U60" s="27">
        <f t="shared" si="0"/>
        <v>-53.778596276816998</v>
      </c>
      <c r="V60" s="28">
        <v>5.8353634117399758E-2</v>
      </c>
    </row>
    <row r="61" spans="1:22" x14ac:dyDescent="0.3">
      <c r="A61" s="19">
        <v>59</v>
      </c>
      <c r="B61" s="18" t="s">
        <v>15</v>
      </c>
      <c r="C61" s="18" t="s">
        <v>16</v>
      </c>
      <c r="D61" s="18">
        <v>9</v>
      </c>
      <c r="E61" s="27">
        <v>13.615975033897289</v>
      </c>
      <c r="F61" s="18">
        <v>954</v>
      </c>
      <c r="G61" s="27">
        <v>96.694249799942497</v>
      </c>
      <c r="H61" s="18">
        <v>0</v>
      </c>
      <c r="I61" s="18" t="s">
        <v>17</v>
      </c>
      <c r="J61" s="27">
        <v>1.06257025262004</v>
      </c>
      <c r="K61" s="27">
        <v>5.0279178894212402</v>
      </c>
      <c r="L61" s="18">
        <v>4162502</v>
      </c>
      <c r="M61" s="18">
        <v>1.1499999999999999</v>
      </c>
      <c r="N61" s="27">
        <v>88.725589569971504</v>
      </c>
      <c r="O61" s="18" t="s">
        <v>22</v>
      </c>
      <c r="P61" s="18" t="s">
        <v>18</v>
      </c>
      <c r="Q61" s="18">
        <v>300</v>
      </c>
      <c r="R61" s="18">
        <v>4200</v>
      </c>
      <c r="S61" s="27">
        <v>2371.5003642473694</v>
      </c>
      <c r="T61" s="18" t="s">
        <v>19</v>
      </c>
      <c r="U61" s="27">
        <f t="shared" si="0"/>
        <v>-83.305750200057503</v>
      </c>
      <c r="V61" s="28">
        <v>5.8353634117399758E-2</v>
      </c>
    </row>
    <row r="62" spans="1:22" x14ac:dyDescent="0.3">
      <c r="A62" s="19">
        <v>60</v>
      </c>
      <c r="B62" s="18" t="s">
        <v>15</v>
      </c>
      <c r="C62" s="18" t="s">
        <v>16</v>
      </c>
      <c r="D62" s="18">
        <v>9</v>
      </c>
      <c r="E62" s="27">
        <v>13.615975033897289</v>
      </c>
      <c r="F62" s="18">
        <v>954</v>
      </c>
      <c r="G62" s="27">
        <v>153.190381733583</v>
      </c>
      <c r="H62" s="18">
        <v>0</v>
      </c>
      <c r="I62" s="18" t="s">
        <v>17</v>
      </c>
      <c r="J62" s="27">
        <v>1.0795395993174799</v>
      </c>
      <c r="K62" s="27">
        <v>5.1562622171573196</v>
      </c>
      <c r="L62" s="18">
        <v>884745</v>
      </c>
      <c r="M62" s="18">
        <v>1.04</v>
      </c>
      <c r="N62" s="27">
        <v>142.62214454003299</v>
      </c>
      <c r="O62" s="18" t="s">
        <v>22</v>
      </c>
      <c r="P62" s="18" t="s">
        <v>18</v>
      </c>
      <c r="Q62" s="18">
        <v>300</v>
      </c>
      <c r="R62" s="18">
        <v>4200</v>
      </c>
      <c r="S62" s="27">
        <v>3922.1202825778078</v>
      </c>
      <c r="T62" s="18" t="s">
        <v>19</v>
      </c>
      <c r="U62" s="27">
        <f t="shared" si="0"/>
        <v>-26.809618266417004</v>
      </c>
      <c r="V62" s="28">
        <v>5.8353634117399758E-2</v>
      </c>
    </row>
    <row r="63" spans="1:22" x14ac:dyDescent="0.3">
      <c r="A63" s="19">
        <v>61</v>
      </c>
      <c r="B63" s="18" t="s">
        <v>15</v>
      </c>
      <c r="C63" s="18" t="s">
        <v>16</v>
      </c>
      <c r="D63" s="18">
        <v>10</v>
      </c>
      <c r="E63" s="27">
        <v>12.987989058896501</v>
      </c>
      <c r="F63" s="18">
        <v>439</v>
      </c>
      <c r="G63" s="27">
        <v>131.82580921239301</v>
      </c>
      <c r="H63" s="18">
        <v>0</v>
      </c>
      <c r="I63" s="18" t="s">
        <v>17</v>
      </c>
      <c r="J63" s="27">
        <v>1.2589840784970101</v>
      </c>
      <c r="K63" s="27">
        <v>5.7034072055987499</v>
      </c>
      <c r="L63" s="18">
        <v>7319415</v>
      </c>
      <c r="M63" s="18">
        <v>1</v>
      </c>
      <c r="N63" s="27">
        <v>90.189530065690093</v>
      </c>
      <c r="O63" s="18" t="s">
        <v>22</v>
      </c>
      <c r="P63" s="18" t="s">
        <v>18</v>
      </c>
      <c r="Q63" s="18">
        <v>300</v>
      </c>
      <c r="R63" s="18">
        <v>4200</v>
      </c>
      <c r="S63" s="27">
        <v>3126.3188964839574</v>
      </c>
      <c r="T63" s="18" t="s">
        <v>19</v>
      </c>
      <c r="U63" s="27">
        <f t="shared" si="0"/>
        <v>-48.174190787606989</v>
      </c>
      <c r="V63" s="28">
        <v>6.4837371241555281E-2</v>
      </c>
    </row>
    <row r="64" spans="1:22" x14ac:dyDescent="0.3">
      <c r="A64" s="19">
        <v>62</v>
      </c>
      <c r="B64" s="18" t="s">
        <v>15</v>
      </c>
      <c r="C64" s="18" t="s">
        <v>16</v>
      </c>
      <c r="D64" s="18">
        <v>10</v>
      </c>
      <c r="E64" s="27">
        <v>12.987989058896501</v>
      </c>
      <c r="F64" s="18">
        <v>439</v>
      </c>
      <c r="G64" s="27">
        <v>78.905012709909599</v>
      </c>
      <c r="H64" s="18">
        <v>0</v>
      </c>
      <c r="I64" s="18" t="s">
        <v>17</v>
      </c>
      <c r="J64" s="27">
        <v>1.57185507793496</v>
      </c>
      <c r="K64" s="27">
        <v>6.8243810813331898</v>
      </c>
      <c r="L64" s="18">
        <v>9756985</v>
      </c>
      <c r="M64" s="18">
        <v>1</v>
      </c>
      <c r="N64" s="27">
        <v>169.57439866431599</v>
      </c>
      <c r="O64" s="18" t="s">
        <v>22</v>
      </c>
      <c r="P64" s="18" t="s">
        <v>18</v>
      </c>
      <c r="Q64" s="18">
        <v>300</v>
      </c>
      <c r="R64" s="18">
        <v>4200</v>
      </c>
      <c r="S64" s="27">
        <v>58.110016663270756</v>
      </c>
      <c r="T64" s="18" t="s">
        <v>19</v>
      </c>
      <c r="U64" s="27">
        <f t="shared" si="0"/>
        <v>-101.0949872900904</v>
      </c>
      <c r="V64" s="28">
        <v>6.4837371241555281E-2</v>
      </c>
    </row>
    <row r="65" spans="1:22" x14ac:dyDescent="0.3">
      <c r="A65" s="19">
        <v>63</v>
      </c>
      <c r="B65" s="18" t="s">
        <v>15</v>
      </c>
      <c r="C65" s="18" t="s">
        <v>16</v>
      </c>
      <c r="D65" s="18">
        <v>10</v>
      </c>
      <c r="E65" s="27">
        <v>12.987989058896501</v>
      </c>
      <c r="F65" s="18">
        <v>439</v>
      </c>
      <c r="G65" s="27">
        <v>65.084681653378496</v>
      </c>
      <c r="H65" s="18">
        <v>0</v>
      </c>
      <c r="I65" s="18" t="s">
        <v>17</v>
      </c>
      <c r="J65" s="27">
        <v>2.1357761546498999</v>
      </c>
      <c r="K65" s="27">
        <v>10.0459343591275</v>
      </c>
      <c r="L65" s="18">
        <v>2550711</v>
      </c>
      <c r="M65" s="18">
        <v>1</v>
      </c>
      <c r="N65" s="27">
        <v>17.139397085726099</v>
      </c>
      <c r="O65" s="18" t="s">
        <v>22</v>
      </c>
      <c r="P65" s="18" t="s">
        <v>18</v>
      </c>
      <c r="Q65" s="18">
        <v>300</v>
      </c>
      <c r="R65" s="18">
        <v>4200</v>
      </c>
      <c r="S65" s="27">
        <v>270.9761829666196</v>
      </c>
      <c r="T65" s="18" t="s">
        <v>19</v>
      </c>
      <c r="U65" s="27">
        <f t="shared" si="0"/>
        <v>-114.9153183466215</v>
      </c>
      <c r="V65" s="28">
        <v>6.4837371241555281E-2</v>
      </c>
    </row>
    <row r="66" spans="1:22" x14ac:dyDescent="0.3">
      <c r="A66" s="19">
        <v>64</v>
      </c>
      <c r="B66" s="18" t="s">
        <v>15</v>
      </c>
      <c r="C66" s="18" t="s">
        <v>16</v>
      </c>
      <c r="D66" s="18">
        <v>10</v>
      </c>
      <c r="E66" s="27">
        <v>12.987989058896501</v>
      </c>
      <c r="F66" s="18">
        <v>439</v>
      </c>
      <c r="G66" s="27">
        <v>193.576069888652</v>
      </c>
      <c r="H66" s="18">
        <v>0</v>
      </c>
      <c r="I66" s="18" t="s">
        <v>17</v>
      </c>
      <c r="J66" s="27">
        <v>1.7423201797021799</v>
      </c>
      <c r="K66" s="27">
        <v>11.4689119590488</v>
      </c>
      <c r="L66" s="18">
        <v>4638680</v>
      </c>
      <c r="M66" s="18">
        <v>1</v>
      </c>
      <c r="N66" s="27">
        <v>291.14847273488101</v>
      </c>
      <c r="O66" s="18" t="s">
        <v>22</v>
      </c>
      <c r="P66" s="18" t="s">
        <v>18</v>
      </c>
      <c r="Q66" s="18">
        <v>300</v>
      </c>
      <c r="R66" s="18">
        <v>4200</v>
      </c>
      <c r="S66" s="27">
        <v>1254.5646755407192</v>
      </c>
      <c r="T66" s="18" t="s">
        <v>19</v>
      </c>
      <c r="U66" s="27">
        <f t="shared" si="0"/>
        <v>13.576069888652</v>
      </c>
      <c r="V66" s="28">
        <v>6.4837371241555281E-2</v>
      </c>
    </row>
    <row r="67" spans="1:22" x14ac:dyDescent="0.3">
      <c r="A67" s="19">
        <v>65</v>
      </c>
      <c r="B67" s="18" t="s">
        <v>15</v>
      </c>
      <c r="C67" s="18" t="s">
        <v>16</v>
      </c>
      <c r="D67" s="18">
        <v>11</v>
      </c>
      <c r="E67" s="27">
        <v>12.3600030838957</v>
      </c>
      <c r="F67" s="18">
        <v>212</v>
      </c>
      <c r="G67" s="27">
        <v>116.037137571222</v>
      </c>
      <c r="H67" s="18">
        <v>0</v>
      </c>
      <c r="I67" s="18" t="s">
        <v>17</v>
      </c>
      <c r="J67" s="27">
        <v>1.79396818984187</v>
      </c>
      <c r="K67" s="27">
        <v>10.381747832563899</v>
      </c>
      <c r="L67" s="18">
        <v>1785659</v>
      </c>
      <c r="M67" s="18">
        <v>1</v>
      </c>
      <c r="N67" s="27">
        <v>49.804506544633497</v>
      </c>
      <c r="O67" s="18" t="s">
        <v>22</v>
      </c>
      <c r="P67" s="18" t="s">
        <v>18</v>
      </c>
      <c r="Q67" s="18">
        <v>300</v>
      </c>
      <c r="R67" s="18">
        <v>4200</v>
      </c>
      <c r="S67" s="27">
        <v>700.9903062748233</v>
      </c>
      <c r="T67" s="18" t="s">
        <v>19</v>
      </c>
      <c r="U67" s="27">
        <f t="shared" ref="U67:U100" si="1">G67-180</f>
        <v>-63.962862428777996</v>
      </c>
      <c r="V67" s="28">
        <v>7.1321108365710803E-2</v>
      </c>
    </row>
    <row r="68" spans="1:22" x14ac:dyDescent="0.3">
      <c r="A68" s="19">
        <v>66</v>
      </c>
      <c r="B68" s="18" t="s">
        <v>15</v>
      </c>
      <c r="C68" s="18" t="s">
        <v>16</v>
      </c>
      <c r="D68" s="18">
        <v>11</v>
      </c>
      <c r="E68" s="27">
        <v>12.3600030838957</v>
      </c>
      <c r="F68" s="18">
        <v>212</v>
      </c>
      <c r="G68" s="27">
        <v>171.477234922402</v>
      </c>
      <c r="H68" s="18">
        <v>0</v>
      </c>
      <c r="I68" s="18" t="s">
        <v>17</v>
      </c>
      <c r="J68" s="27">
        <v>1.2762296486332101</v>
      </c>
      <c r="K68" s="27">
        <v>5.5490622797820697</v>
      </c>
      <c r="L68" s="18">
        <v>5926170</v>
      </c>
      <c r="M68" s="18">
        <v>1.1100000000000001</v>
      </c>
      <c r="N68" s="27">
        <v>181.73624308627501</v>
      </c>
      <c r="O68" s="18" t="s">
        <v>22</v>
      </c>
      <c r="P68" s="18" t="s">
        <v>18</v>
      </c>
      <c r="Q68" s="18">
        <v>300</v>
      </c>
      <c r="R68" s="18">
        <v>4200</v>
      </c>
      <c r="S68" s="27">
        <v>5231.7365528521559</v>
      </c>
      <c r="T68" s="18" t="s">
        <v>19</v>
      </c>
      <c r="U68" s="27">
        <f t="shared" si="1"/>
        <v>-8.5227650775979953</v>
      </c>
      <c r="V68" s="28">
        <v>7.1321108365710803E-2</v>
      </c>
    </row>
    <row r="69" spans="1:22" x14ac:dyDescent="0.3">
      <c r="A69" s="19">
        <v>67</v>
      </c>
      <c r="B69" s="18" t="s">
        <v>15</v>
      </c>
      <c r="C69" s="18" t="s">
        <v>16</v>
      </c>
      <c r="D69" s="18">
        <v>11</v>
      </c>
      <c r="E69" s="27">
        <v>12.3600030838957</v>
      </c>
      <c r="F69" s="18">
        <v>212</v>
      </c>
      <c r="G69" s="27">
        <v>51.6546432209119</v>
      </c>
      <c r="H69" s="18">
        <v>0</v>
      </c>
      <c r="I69" s="18" t="s">
        <v>17</v>
      </c>
      <c r="J69" s="27">
        <v>3.0798308883322001</v>
      </c>
      <c r="K69" s="27">
        <v>8.4634289078007399</v>
      </c>
      <c r="L69" s="18">
        <v>358789</v>
      </c>
      <c r="M69" s="18">
        <v>1.23</v>
      </c>
      <c r="N69" s="27">
        <v>119.867653301207</v>
      </c>
      <c r="O69" s="18" t="s">
        <v>22</v>
      </c>
      <c r="P69" s="18" t="s">
        <v>18</v>
      </c>
      <c r="Q69" s="18">
        <v>300</v>
      </c>
      <c r="R69" s="18">
        <v>4200</v>
      </c>
      <c r="S69" s="27">
        <v>6.1168438592916647</v>
      </c>
      <c r="T69" s="18" t="s">
        <v>19</v>
      </c>
      <c r="U69" s="27">
        <f t="shared" si="1"/>
        <v>-128.34535677908809</v>
      </c>
      <c r="V69" s="28">
        <v>7.1321108365710803E-2</v>
      </c>
    </row>
    <row r="70" spans="1:22" x14ac:dyDescent="0.3">
      <c r="A70" s="19">
        <v>68</v>
      </c>
      <c r="B70" s="18" t="s">
        <v>15</v>
      </c>
      <c r="C70" s="18" t="s">
        <v>16</v>
      </c>
      <c r="D70" s="18">
        <v>11</v>
      </c>
      <c r="E70" s="27">
        <v>12.3600030838957</v>
      </c>
      <c r="F70" s="18">
        <v>212</v>
      </c>
      <c r="G70" s="27">
        <v>43.565161406912097</v>
      </c>
      <c r="H70" s="18">
        <v>0</v>
      </c>
      <c r="I70" s="18" t="s">
        <v>17</v>
      </c>
      <c r="J70" s="27">
        <v>3.4878515059107098</v>
      </c>
      <c r="K70" s="27">
        <v>13.5520333988836</v>
      </c>
      <c r="L70" s="18">
        <v>5541730</v>
      </c>
      <c r="M70" s="18">
        <v>1</v>
      </c>
      <c r="N70" s="27">
        <v>343.21805474219099</v>
      </c>
      <c r="O70" s="18" t="s">
        <v>22</v>
      </c>
      <c r="P70" s="18" t="s">
        <v>18</v>
      </c>
      <c r="Q70" s="18">
        <v>300</v>
      </c>
      <c r="R70" s="18">
        <v>4200</v>
      </c>
      <c r="S70" s="27">
        <v>33.030956840174923</v>
      </c>
      <c r="T70" s="18" t="s">
        <v>19</v>
      </c>
      <c r="U70" s="27">
        <f t="shared" si="1"/>
        <v>-136.4348385930879</v>
      </c>
      <c r="V70" s="28">
        <v>7.1321108365710803E-2</v>
      </c>
    </row>
    <row r="71" spans="1:22" x14ac:dyDescent="0.3">
      <c r="A71" s="19">
        <v>69</v>
      </c>
      <c r="B71" s="18" t="s">
        <v>15</v>
      </c>
      <c r="C71" s="18" t="s">
        <v>16</v>
      </c>
      <c r="D71" s="18">
        <v>11</v>
      </c>
      <c r="E71" s="27">
        <v>12.3600030838957</v>
      </c>
      <c r="F71" s="18">
        <v>212</v>
      </c>
      <c r="G71" s="27">
        <v>47.384326438221798</v>
      </c>
      <c r="H71" s="18">
        <v>0</v>
      </c>
      <c r="I71" s="18" t="s">
        <v>17</v>
      </c>
      <c r="J71" s="27">
        <v>1.6180136178939599</v>
      </c>
      <c r="K71" s="27">
        <v>7.2836377361585196</v>
      </c>
      <c r="L71" s="18">
        <v>5897993</v>
      </c>
      <c r="M71" s="18">
        <v>1</v>
      </c>
      <c r="N71" s="27">
        <v>7.5140024711197402</v>
      </c>
      <c r="O71" s="18" t="s">
        <v>22</v>
      </c>
      <c r="P71" s="18" t="s">
        <v>18</v>
      </c>
      <c r="Q71" s="18">
        <v>300</v>
      </c>
      <c r="R71" s="18">
        <v>4200</v>
      </c>
      <c r="S71" s="27">
        <v>346.2133624359081</v>
      </c>
      <c r="T71" s="18" t="s">
        <v>19</v>
      </c>
      <c r="U71" s="27">
        <f t="shared" si="1"/>
        <v>-132.61567356177821</v>
      </c>
      <c r="V71" s="28">
        <v>7.1321108365710803E-2</v>
      </c>
    </row>
    <row r="72" spans="1:22" x14ac:dyDescent="0.3">
      <c r="A72" s="19">
        <v>70</v>
      </c>
      <c r="B72" s="18" t="s">
        <v>15</v>
      </c>
      <c r="C72" s="18" t="s">
        <v>16</v>
      </c>
      <c r="D72" s="18">
        <v>12</v>
      </c>
      <c r="E72" s="27">
        <v>10.986604545991931</v>
      </c>
      <c r="F72" s="18">
        <v>537</v>
      </c>
      <c r="G72" s="27">
        <v>53.199830584943101</v>
      </c>
      <c r="H72" s="18">
        <v>0</v>
      </c>
      <c r="I72" s="18" t="s">
        <v>17</v>
      </c>
      <c r="J72" s="27">
        <v>2.1253378696209202</v>
      </c>
      <c r="K72" s="27">
        <v>7.2548051585269402</v>
      </c>
      <c r="L72" s="18">
        <v>1937073</v>
      </c>
      <c r="M72" s="18">
        <v>1.03</v>
      </c>
      <c r="N72" s="27">
        <v>59.782792409180502</v>
      </c>
      <c r="O72" s="18" t="s">
        <v>22</v>
      </c>
      <c r="P72" s="18" t="s">
        <v>18</v>
      </c>
      <c r="Q72" s="18">
        <v>300</v>
      </c>
      <c r="R72" s="18">
        <v>4200</v>
      </c>
      <c r="S72" s="27">
        <v>235.49848858272892</v>
      </c>
      <c r="T72" s="18" t="s">
        <v>19</v>
      </c>
      <c r="U72" s="27">
        <f t="shared" si="1"/>
        <v>-126.8001694150569</v>
      </c>
      <c r="V72" s="28">
        <v>7.7804845489866339E-2</v>
      </c>
    </row>
    <row r="73" spans="1:22" x14ac:dyDescent="0.3">
      <c r="A73" s="19">
        <v>71</v>
      </c>
      <c r="B73" s="18" t="s">
        <v>15</v>
      </c>
      <c r="C73" s="18" t="s">
        <v>16</v>
      </c>
      <c r="D73" s="18">
        <v>12</v>
      </c>
      <c r="E73" s="27">
        <v>10.986604545991931</v>
      </c>
      <c r="F73" s="18">
        <v>537</v>
      </c>
      <c r="G73" s="27">
        <v>87.966550827286994</v>
      </c>
      <c r="H73" s="18">
        <v>0</v>
      </c>
      <c r="I73" s="18" t="s">
        <v>17</v>
      </c>
      <c r="J73" s="27">
        <v>1.89837848154696</v>
      </c>
      <c r="K73" s="27">
        <v>6.9888938619770098</v>
      </c>
      <c r="L73" s="18">
        <v>6380504</v>
      </c>
      <c r="M73" s="18">
        <v>1</v>
      </c>
      <c r="N73" s="27">
        <v>59.859486441614997</v>
      </c>
      <c r="O73" s="18" t="s">
        <v>22</v>
      </c>
      <c r="P73" s="18" t="s">
        <v>18</v>
      </c>
      <c r="Q73" s="18">
        <v>300</v>
      </c>
      <c r="R73" s="18">
        <v>4200</v>
      </c>
      <c r="S73" s="27">
        <v>2334.7993010916189</v>
      </c>
      <c r="T73" s="18" t="s">
        <v>19</v>
      </c>
      <c r="U73" s="27">
        <f t="shared" si="1"/>
        <v>-92.033449172713006</v>
      </c>
      <c r="V73" s="28">
        <v>7.7804845489866339E-2</v>
      </c>
    </row>
    <row r="74" spans="1:22" x14ac:dyDescent="0.3">
      <c r="A74" s="19">
        <v>72</v>
      </c>
      <c r="B74" s="18" t="s">
        <v>15</v>
      </c>
      <c r="C74" s="18" t="s">
        <v>16</v>
      </c>
      <c r="D74" s="18">
        <v>12</v>
      </c>
      <c r="E74" s="27">
        <v>10.986604545991931</v>
      </c>
      <c r="F74" s="18">
        <v>537</v>
      </c>
      <c r="G74" s="27">
        <v>216.782665426595</v>
      </c>
      <c r="H74" s="18">
        <v>0</v>
      </c>
      <c r="I74" s="18" t="s">
        <v>17</v>
      </c>
      <c r="J74" s="27">
        <v>1.9616045639534101</v>
      </c>
      <c r="K74" s="27">
        <v>7.4546588331561603</v>
      </c>
      <c r="L74" s="18">
        <v>2352739</v>
      </c>
      <c r="M74" s="18">
        <v>1</v>
      </c>
      <c r="N74" s="27">
        <v>253.61801050748701</v>
      </c>
      <c r="O74" s="18" t="s">
        <v>22</v>
      </c>
      <c r="P74" s="18" t="s">
        <v>18</v>
      </c>
      <c r="Q74" s="18">
        <v>300</v>
      </c>
      <c r="R74" s="18">
        <v>4200</v>
      </c>
      <c r="S74" s="27">
        <v>3508.0099533037528</v>
      </c>
      <c r="T74" s="18" t="s">
        <v>19</v>
      </c>
      <c r="U74" s="27">
        <f t="shared" si="1"/>
        <v>36.782665426595003</v>
      </c>
      <c r="V74" s="28">
        <v>7.7804845489866339E-2</v>
      </c>
    </row>
    <row r="75" spans="1:22" x14ac:dyDescent="0.3">
      <c r="A75" s="19">
        <v>73</v>
      </c>
      <c r="B75" s="18" t="s">
        <v>15</v>
      </c>
      <c r="C75" s="18" t="s">
        <v>16</v>
      </c>
      <c r="D75" s="18">
        <v>13</v>
      </c>
      <c r="E75" s="27">
        <v>9.6132060080881701</v>
      </c>
      <c r="F75" s="18">
        <v>64</v>
      </c>
      <c r="G75" s="27">
        <v>66.609946196273597</v>
      </c>
      <c r="H75" s="18">
        <v>0</v>
      </c>
      <c r="I75" s="18" t="s">
        <v>17</v>
      </c>
      <c r="J75" s="27">
        <v>3.4692287435304299</v>
      </c>
      <c r="K75" s="27">
        <v>10.4320529768118</v>
      </c>
      <c r="L75" s="18">
        <v>2282650</v>
      </c>
      <c r="M75" s="18">
        <v>1</v>
      </c>
      <c r="N75" s="27">
        <v>257.21976724419699</v>
      </c>
      <c r="O75" s="18" t="s">
        <v>22</v>
      </c>
      <c r="P75" s="18" t="s">
        <v>18</v>
      </c>
      <c r="Q75" s="18">
        <v>300</v>
      </c>
      <c r="R75" s="18">
        <v>4200</v>
      </c>
      <c r="S75" s="27">
        <v>3.0584219296458324</v>
      </c>
      <c r="T75" s="18" t="s">
        <v>19</v>
      </c>
      <c r="U75" s="27">
        <f t="shared" si="1"/>
        <v>-113.3900538037264</v>
      </c>
      <c r="V75" s="28">
        <v>8.4288582614021876E-2</v>
      </c>
    </row>
    <row r="76" spans="1:22" x14ac:dyDescent="0.3">
      <c r="A76" s="19">
        <v>74</v>
      </c>
      <c r="B76" s="18" t="s">
        <v>15</v>
      </c>
      <c r="C76" s="18" t="s">
        <v>16</v>
      </c>
      <c r="D76" s="18">
        <v>13</v>
      </c>
      <c r="E76" s="27">
        <v>9.6132060080881701</v>
      </c>
      <c r="F76" s="18">
        <v>64</v>
      </c>
      <c r="G76" s="27">
        <v>268.49838267051001</v>
      </c>
      <c r="H76" s="18">
        <v>0</v>
      </c>
      <c r="I76" s="18" t="s">
        <v>17</v>
      </c>
      <c r="J76" s="27">
        <v>2.2325614069390798</v>
      </c>
      <c r="K76" s="27">
        <v>7.56746316226321</v>
      </c>
      <c r="L76" s="18">
        <v>1281195</v>
      </c>
      <c r="M76" s="18">
        <v>1</v>
      </c>
      <c r="N76" s="27">
        <v>273.550736409038</v>
      </c>
      <c r="O76" s="18" t="s">
        <v>22</v>
      </c>
      <c r="P76" s="18" t="s">
        <v>18</v>
      </c>
      <c r="Q76" s="18">
        <v>300</v>
      </c>
      <c r="R76" s="18">
        <v>4200</v>
      </c>
      <c r="S76" s="27">
        <v>7961.0722828681037</v>
      </c>
      <c r="T76" s="18" t="s">
        <v>19</v>
      </c>
      <c r="U76" s="27">
        <f t="shared" si="1"/>
        <v>88.498382670510011</v>
      </c>
      <c r="V76" s="28">
        <v>8.4288582614021876E-2</v>
      </c>
    </row>
    <row r="77" spans="1:22" x14ac:dyDescent="0.3">
      <c r="A77" s="19">
        <v>75</v>
      </c>
      <c r="B77" s="18" t="s">
        <v>15</v>
      </c>
      <c r="C77" s="18" t="s">
        <v>16</v>
      </c>
      <c r="D77" s="18">
        <v>13</v>
      </c>
      <c r="E77" s="27">
        <v>9.6132060080881701</v>
      </c>
      <c r="F77" s="18">
        <v>64</v>
      </c>
      <c r="G77" s="27">
        <v>342.75168112061601</v>
      </c>
      <c r="H77" s="18">
        <v>0</v>
      </c>
      <c r="I77" s="18" t="s">
        <v>17</v>
      </c>
      <c r="J77" s="27">
        <v>2.5200095679848502</v>
      </c>
      <c r="K77" s="27">
        <v>8.32411124283853</v>
      </c>
      <c r="L77" s="18">
        <v>589906</v>
      </c>
      <c r="M77" s="18">
        <v>1</v>
      </c>
      <c r="N77" s="27">
        <v>339.42114413750301</v>
      </c>
      <c r="O77" s="18" t="s">
        <v>22</v>
      </c>
      <c r="P77" s="18" t="s">
        <v>18</v>
      </c>
      <c r="Q77" s="18">
        <v>300</v>
      </c>
      <c r="R77" s="18">
        <v>4200</v>
      </c>
      <c r="S77" s="27">
        <v>14750.768966681864</v>
      </c>
      <c r="T77" s="18" t="s">
        <v>19</v>
      </c>
      <c r="U77" s="27">
        <f t="shared" si="1"/>
        <v>162.75168112061601</v>
      </c>
      <c r="V77" s="28">
        <v>8.4288582614021876E-2</v>
      </c>
    </row>
    <row r="78" spans="1:22" x14ac:dyDescent="0.3">
      <c r="A78" s="19">
        <v>76</v>
      </c>
      <c r="B78" s="18" t="s">
        <v>15</v>
      </c>
      <c r="C78" s="18" t="s">
        <v>16</v>
      </c>
      <c r="D78" s="18">
        <v>14</v>
      </c>
      <c r="E78" s="27">
        <v>8.951334091210521</v>
      </c>
      <c r="F78" s="18">
        <v>180</v>
      </c>
      <c r="G78" s="27">
        <v>62.798477452370797</v>
      </c>
      <c r="H78" s="18">
        <v>0</v>
      </c>
      <c r="I78" s="18" t="s">
        <v>17</v>
      </c>
      <c r="J78" s="27">
        <v>1.47195045067982</v>
      </c>
      <c r="K78" s="27">
        <v>5.6173906099947599</v>
      </c>
      <c r="L78" s="18">
        <v>7122076</v>
      </c>
      <c r="M78" s="18">
        <v>1.53</v>
      </c>
      <c r="N78" s="27">
        <v>44.464157844934803</v>
      </c>
      <c r="O78" s="18" t="s">
        <v>22</v>
      </c>
      <c r="P78" s="18" t="s">
        <v>18</v>
      </c>
      <c r="Q78" s="18">
        <v>300</v>
      </c>
      <c r="R78" s="18">
        <v>4200</v>
      </c>
      <c r="S78" s="27">
        <v>226.32322279379034</v>
      </c>
      <c r="T78" s="18" t="s">
        <v>19</v>
      </c>
      <c r="U78" s="27">
        <f t="shared" si="1"/>
        <v>-117.2015225476292</v>
      </c>
      <c r="V78" s="28">
        <v>9.0772319738177384E-2</v>
      </c>
    </row>
    <row r="79" spans="1:22" x14ac:dyDescent="0.3">
      <c r="A79" s="19">
        <v>77</v>
      </c>
      <c r="B79" s="18" t="s">
        <v>15</v>
      </c>
      <c r="C79" s="18" t="s">
        <v>16</v>
      </c>
      <c r="D79" s="18">
        <v>14</v>
      </c>
      <c r="E79" s="27">
        <v>8.951334091210521</v>
      </c>
      <c r="F79" s="18">
        <v>180</v>
      </c>
      <c r="G79" s="27">
        <v>68.403812111173295</v>
      </c>
      <c r="H79" s="18">
        <v>0</v>
      </c>
      <c r="I79" s="18" t="s">
        <v>17</v>
      </c>
      <c r="J79" s="27">
        <v>2.3412011768416501</v>
      </c>
      <c r="K79" s="27">
        <v>7.30334299812775</v>
      </c>
      <c r="L79" s="18">
        <v>847403</v>
      </c>
      <c r="M79" s="18">
        <v>1.3</v>
      </c>
      <c r="N79" s="27">
        <v>62.484149456229602</v>
      </c>
      <c r="O79" s="18" t="s">
        <v>22</v>
      </c>
      <c r="P79" s="18" t="s">
        <v>18</v>
      </c>
      <c r="Q79" s="18">
        <v>300</v>
      </c>
      <c r="R79" s="18">
        <v>4200</v>
      </c>
      <c r="S79" s="27">
        <v>861.25161538826592</v>
      </c>
      <c r="T79" s="18" t="s">
        <v>19</v>
      </c>
      <c r="U79" s="27">
        <f t="shared" si="1"/>
        <v>-111.59618788882671</v>
      </c>
      <c r="V79" s="28">
        <v>9.0772319738177384E-2</v>
      </c>
    </row>
    <row r="80" spans="1:22" x14ac:dyDescent="0.3">
      <c r="A80" s="19">
        <v>78</v>
      </c>
      <c r="B80" s="18" t="s">
        <v>15</v>
      </c>
      <c r="C80" s="18" t="s">
        <v>16</v>
      </c>
      <c r="D80" s="18">
        <v>14</v>
      </c>
      <c r="E80" s="27">
        <v>8.951334091210521</v>
      </c>
      <c r="F80" s="18">
        <v>180</v>
      </c>
      <c r="G80" s="27">
        <v>133.29150358980101</v>
      </c>
      <c r="H80" s="18">
        <v>0</v>
      </c>
      <c r="I80" s="18" t="s">
        <v>17</v>
      </c>
      <c r="J80" s="27">
        <v>1.7880638560892299</v>
      </c>
      <c r="K80" s="27">
        <v>6.0576056835165604</v>
      </c>
      <c r="L80" s="18">
        <v>1015133</v>
      </c>
      <c r="M80" s="18">
        <v>1.72</v>
      </c>
      <c r="N80" s="27">
        <v>135.86696264869201</v>
      </c>
      <c r="O80" s="18" t="s">
        <v>22</v>
      </c>
      <c r="P80" s="18" t="s">
        <v>18</v>
      </c>
      <c r="Q80" s="18">
        <v>300</v>
      </c>
      <c r="R80" s="18">
        <v>4200</v>
      </c>
      <c r="S80" s="27">
        <v>4652.4714393772374</v>
      </c>
      <c r="T80" s="18" t="s">
        <v>19</v>
      </c>
      <c r="U80" s="27">
        <f t="shared" si="1"/>
        <v>-46.70849641019899</v>
      </c>
      <c r="V80" s="28">
        <v>9.0772319738177384E-2</v>
      </c>
    </row>
    <row r="81" spans="1:22" x14ac:dyDescent="0.3">
      <c r="A81" s="19">
        <v>79</v>
      </c>
      <c r="B81" s="18" t="s">
        <v>15</v>
      </c>
      <c r="C81" s="18" t="s">
        <v>16</v>
      </c>
      <c r="D81" s="18">
        <v>14</v>
      </c>
      <c r="E81" s="27">
        <v>8.951334091210521</v>
      </c>
      <c r="F81" s="18">
        <v>180</v>
      </c>
      <c r="G81" s="27">
        <v>101.75731006702701</v>
      </c>
      <c r="H81" s="18">
        <v>0</v>
      </c>
      <c r="I81" s="18" t="s">
        <v>17</v>
      </c>
      <c r="J81" s="27">
        <v>2.1780043516653498</v>
      </c>
      <c r="K81" s="27">
        <v>6.5880565719287398</v>
      </c>
      <c r="L81" s="18">
        <v>3839292</v>
      </c>
      <c r="M81" s="18">
        <v>1.85</v>
      </c>
      <c r="N81" s="27">
        <v>92.671548881569095</v>
      </c>
      <c r="O81" s="18" t="s">
        <v>22</v>
      </c>
      <c r="P81" s="18" t="s">
        <v>18</v>
      </c>
      <c r="Q81" s="18">
        <v>300</v>
      </c>
      <c r="R81" s="18">
        <v>4200</v>
      </c>
      <c r="S81" s="27">
        <v>3340.4084315591622</v>
      </c>
      <c r="T81" s="18" t="s">
        <v>19</v>
      </c>
      <c r="U81" s="27">
        <f t="shared" si="1"/>
        <v>-78.242689932972993</v>
      </c>
      <c r="V81" s="28">
        <v>9.0772319738177384E-2</v>
      </c>
    </row>
    <row r="82" spans="1:22" x14ac:dyDescent="0.3">
      <c r="A82" s="19">
        <v>80</v>
      </c>
      <c r="B82" s="18" t="s">
        <v>15</v>
      </c>
      <c r="C82" s="18" t="s">
        <v>16</v>
      </c>
      <c r="D82" s="18">
        <v>15</v>
      </c>
      <c r="E82" s="27">
        <v>8.289462174332872</v>
      </c>
      <c r="F82" s="18">
        <v>45</v>
      </c>
      <c r="G82" s="27">
        <v>48.2970370711462</v>
      </c>
      <c r="H82" s="18">
        <v>0</v>
      </c>
      <c r="I82" s="18" t="s">
        <v>17</v>
      </c>
      <c r="J82" s="27">
        <v>3.0037943520761501</v>
      </c>
      <c r="K82" s="27">
        <v>8.3307888421835301</v>
      </c>
      <c r="L82" s="18">
        <v>9348598</v>
      </c>
      <c r="M82" s="18">
        <v>1.25</v>
      </c>
      <c r="N82" s="27">
        <v>50.524737579930502</v>
      </c>
      <c r="O82" s="18" t="s">
        <v>22</v>
      </c>
      <c r="P82" s="18" t="s">
        <v>18</v>
      </c>
      <c r="Q82" s="18">
        <v>300</v>
      </c>
      <c r="R82" s="18">
        <v>4200</v>
      </c>
      <c r="S82" s="27">
        <v>448.36465488607837</v>
      </c>
      <c r="T82" s="18" t="s">
        <v>19</v>
      </c>
      <c r="U82" s="27">
        <f t="shared" si="1"/>
        <v>-131.70296292885379</v>
      </c>
      <c r="V82" s="28">
        <v>9.7256056862332921E-2</v>
      </c>
    </row>
    <row r="83" spans="1:22" x14ac:dyDescent="0.3">
      <c r="A83" s="19">
        <v>81</v>
      </c>
      <c r="B83" s="18" t="s">
        <v>15</v>
      </c>
      <c r="C83" s="18" t="s">
        <v>16</v>
      </c>
      <c r="D83" s="18">
        <v>15</v>
      </c>
      <c r="E83" s="27">
        <v>8.289462174332872</v>
      </c>
      <c r="F83" s="18">
        <v>45</v>
      </c>
      <c r="G83" s="27">
        <v>239.43256592552399</v>
      </c>
      <c r="H83" s="18">
        <v>0</v>
      </c>
      <c r="I83" s="18" t="s">
        <v>17</v>
      </c>
      <c r="J83" s="27">
        <v>2.1803510238714399</v>
      </c>
      <c r="K83" s="27">
        <v>7.0082521638713802</v>
      </c>
      <c r="L83" s="18">
        <v>7301198</v>
      </c>
      <c r="M83" s="18">
        <v>1.34</v>
      </c>
      <c r="N83" s="27">
        <v>232.76865793539599</v>
      </c>
      <c r="O83" s="18" t="s">
        <v>22</v>
      </c>
      <c r="P83" s="18" t="s">
        <v>18</v>
      </c>
      <c r="Q83" s="18">
        <v>300</v>
      </c>
      <c r="R83" s="18">
        <v>4200</v>
      </c>
      <c r="S83" s="27">
        <v>6488.1362815506545</v>
      </c>
      <c r="T83" s="18" t="s">
        <v>19</v>
      </c>
      <c r="U83" s="27">
        <f t="shared" si="1"/>
        <v>59.432565925523988</v>
      </c>
      <c r="V83" s="28">
        <v>9.7256056862332921E-2</v>
      </c>
    </row>
    <row r="84" spans="1:22" x14ac:dyDescent="0.3">
      <c r="A84" s="19">
        <v>82</v>
      </c>
      <c r="B84" s="18" t="s">
        <v>15</v>
      </c>
      <c r="C84" s="18" t="s">
        <v>16</v>
      </c>
      <c r="D84" s="18">
        <v>15</v>
      </c>
      <c r="E84" s="27">
        <v>8.289462174332872</v>
      </c>
      <c r="F84" s="18">
        <v>45</v>
      </c>
      <c r="G84" s="27">
        <v>65.209935769668803</v>
      </c>
      <c r="H84" s="18">
        <v>0</v>
      </c>
      <c r="I84" s="18" t="s">
        <v>17</v>
      </c>
      <c r="J84" s="27">
        <v>3.6293725270514501</v>
      </c>
      <c r="K84" s="27">
        <v>12.624698154075499</v>
      </c>
      <c r="L84" s="18">
        <v>397345</v>
      </c>
      <c r="M84" s="18">
        <v>1</v>
      </c>
      <c r="N84" s="27">
        <v>20.646950987227399</v>
      </c>
      <c r="O84" s="18" t="s">
        <v>22</v>
      </c>
      <c r="P84" s="18" t="s">
        <v>18</v>
      </c>
      <c r="Q84" s="18">
        <v>300</v>
      </c>
      <c r="R84" s="18">
        <v>4200</v>
      </c>
      <c r="S84" s="27">
        <v>40.982853857253986</v>
      </c>
      <c r="T84" s="18" t="s">
        <v>19</v>
      </c>
      <c r="U84" s="27">
        <f t="shared" si="1"/>
        <v>-114.7900642303312</v>
      </c>
      <c r="V84" s="28">
        <v>9.7256056862332921E-2</v>
      </c>
    </row>
    <row r="85" spans="1:22" x14ac:dyDescent="0.3">
      <c r="A85" s="19">
        <v>83</v>
      </c>
      <c r="B85" s="18" t="s">
        <v>15</v>
      </c>
      <c r="C85" s="18" t="s">
        <v>16</v>
      </c>
      <c r="D85" s="18">
        <v>15</v>
      </c>
      <c r="E85" s="27">
        <v>8.289462174332872</v>
      </c>
      <c r="F85" s="18">
        <v>45</v>
      </c>
      <c r="G85" s="27">
        <v>198.89521023971599</v>
      </c>
      <c r="H85" s="18">
        <v>0</v>
      </c>
      <c r="I85" s="18" t="s">
        <v>17</v>
      </c>
      <c r="J85" s="27">
        <v>2.15021811898501</v>
      </c>
      <c r="K85" s="27">
        <v>6.9358410953093097</v>
      </c>
      <c r="L85" s="18">
        <v>1229654</v>
      </c>
      <c r="M85" s="18">
        <v>1.36</v>
      </c>
      <c r="N85" s="27">
        <v>202.28116835981299</v>
      </c>
      <c r="O85" s="18" t="s">
        <v>22</v>
      </c>
      <c r="P85" s="18" t="s">
        <v>18</v>
      </c>
      <c r="Q85" s="18">
        <v>300</v>
      </c>
      <c r="R85" s="18">
        <v>4200</v>
      </c>
      <c r="S85" s="27">
        <v>7067.4013950255958</v>
      </c>
      <c r="T85" s="18" t="s">
        <v>19</v>
      </c>
      <c r="U85" s="27">
        <f t="shared" si="1"/>
        <v>18.895210239715993</v>
      </c>
      <c r="V85" s="28">
        <v>9.7256056862332921E-2</v>
      </c>
    </row>
    <row r="86" spans="1:22" x14ac:dyDescent="0.3">
      <c r="A86" s="19">
        <v>84</v>
      </c>
      <c r="B86" s="18" t="s">
        <v>15</v>
      </c>
      <c r="C86" s="18" t="s">
        <v>16</v>
      </c>
      <c r="D86" s="18">
        <v>16</v>
      </c>
      <c r="E86" s="27">
        <v>7.9119912280652374</v>
      </c>
      <c r="F86" s="18">
        <v>209</v>
      </c>
      <c r="G86" s="27">
        <v>298.01768371341097</v>
      </c>
      <c r="H86" s="18">
        <v>0</v>
      </c>
      <c r="I86" s="18" t="s">
        <v>17</v>
      </c>
      <c r="J86" s="27">
        <v>3.0867540421620401</v>
      </c>
      <c r="K86" s="27">
        <v>8.6645781298879001</v>
      </c>
      <c r="L86" s="18">
        <v>212167</v>
      </c>
      <c r="M86" s="18">
        <v>1.08</v>
      </c>
      <c r="N86" s="27">
        <v>299.24617942437101</v>
      </c>
      <c r="O86" s="18" t="s">
        <v>22</v>
      </c>
      <c r="P86" s="18" t="s">
        <v>18</v>
      </c>
      <c r="Q86" s="18">
        <v>300</v>
      </c>
      <c r="R86" s="18">
        <v>4200</v>
      </c>
      <c r="S86" s="27">
        <v>7809.986239543593</v>
      </c>
      <c r="T86" s="18" t="s">
        <v>19</v>
      </c>
      <c r="U86" s="27">
        <f t="shared" si="1"/>
        <v>118.01768371341097</v>
      </c>
      <c r="V86" s="28">
        <v>0.1037397939864885</v>
      </c>
    </row>
    <row r="87" spans="1:22" x14ac:dyDescent="0.3">
      <c r="A87" s="19">
        <v>85</v>
      </c>
      <c r="B87" s="18" t="s">
        <v>15</v>
      </c>
      <c r="C87" s="18" t="s">
        <v>16</v>
      </c>
      <c r="D87" s="18">
        <v>16</v>
      </c>
      <c r="E87" s="27">
        <v>7.9119912280652374</v>
      </c>
      <c r="F87" s="18">
        <v>209</v>
      </c>
      <c r="G87" s="27">
        <v>5.47904392415861</v>
      </c>
      <c r="H87" s="18">
        <v>0</v>
      </c>
      <c r="I87" s="18" t="s">
        <v>17</v>
      </c>
      <c r="J87" s="27">
        <v>3.92825990199082</v>
      </c>
      <c r="K87" s="27">
        <v>10.173041718752099</v>
      </c>
      <c r="L87" s="18">
        <v>2813333</v>
      </c>
      <c r="M87" s="18">
        <v>1</v>
      </c>
      <c r="N87" s="27">
        <v>347.74742592478202</v>
      </c>
      <c r="O87" s="18" t="s">
        <v>22</v>
      </c>
      <c r="P87" s="18" t="s">
        <v>18</v>
      </c>
      <c r="Q87" s="18">
        <v>300</v>
      </c>
      <c r="R87" s="18">
        <v>4200</v>
      </c>
      <c r="S87" s="27">
        <v>585.99364172014168</v>
      </c>
      <c r="T87" s="18" t="s">
        <v>19</v>
      </c>
      <c r="U87" s="27">
        <f t="shared" si="1"/>
        <v>-174.52095607584138</v>
      </c>
      <c r="V87" s="28">
        <v>0.1037397939864885</v>
      </c>
    </row>
    <row r="88" spans="1:22" x14ac:dyDescent="0.3">
      <c r="A88" s="19">
        <v>86</v>
      </c>
      <c r="B88" s="18" t="s">
        <v>15</v>
      </c>
      <c r="C88" s="18" t="s">
        <v>16</v>
      </c>
      <c r="D88" s="18">
        <v>17</v>
      </c>
      <c r="E88" s="27">
        <v>7.5345202817976036</v>
      </c>
      <c r="F88" s="18">
        <v>756</v>
      </c>
      <c r="G88" s="27">
        <v>59.879079750907003</v>
      </c>
      <c r="H88" s="18">
        <v>0</v>
      </c>
      <c r="I88" s="18" t="s">
        <v>17</v>
      </c>
      <c r="J88" s="27">
        <v>4.1212330246328097</v>
      </c>
      <c r="K88" s="27">
        <v>11.707112263489799</v>
      </c>
      <c r="L88" s="18">
        <v>8749480</v>
      </c>
      <c r="M88" s="18">
        <v>1</v>
      </c>
      <c r="N88" s="27">
        <v>286.61972271643299</v>
      </c>
      <c r="O88" s="18" t="s">
        <v>22</v>
      </c>
      <c r="P88" s="18" t="s">
        <v>18</v>
      </c>
      <c r="Q88" s="18">
        <v>300</v>
      </c>
      <c r="R88" s="18">
        <v>4200</v>
      </c>
      <c r="S88" s="27">
        <v>1.2233687718583335</v>
      </c>
      <c r="T88" s="18" t="s">
        <v>19</v>
      </c>
      <c r="U88" s="27">
        <f t="shared" si="1"/>
        <v>-120.12092024909299</v>
      </c>
      <c r="V88" s="28">
        <v>0.11022353111064399</v>
      </c>
    </row>
    <row r="89" spans="1:22" x14ac:dyDescent="0.3">
      <c r="A89" s="19">
        <v>87</v>
      </c>
      <c r="B89" s="18" t="s">
        <v>15</v>
      </c>
      <c r="C89" s="18" t="s">
        <v>16</v>
      </c>
      <c r="D89" s="18">
        <v>18</v>
      </c>
      <c r="E89" s="27">
        <v>7.2610740470392772</v>
      </c>
      <c r="F89" s="18">
        <v>93</v>
      </c>
      <c r="G89" s="27">
        <v>79.921720534156606</v>
      </c>
      <c r="H89" s="18">
        <v>0</v>
      </c>
      <c r="I89" s="18" t="s">
        <v>17</v>
      </c>
      <c r="J89" s="27">
        <v>3.3924583503241701</v>
      </c>
      <c r="K89" s="27">
        <v>8.3471368481005808</v>
      </c>
      <c r="L89" s="18">
        <v>2725745</v>
      </c>
      <c r="M89" s="18">
        <v>1.71</v>
      </c>
      <c r="N89" s="27">
        <v>67.903270178576506</v>
      </c>
      <c r="O89" s="18" t="s">
        <v>22</v>
      </c>
      <c r="P89" s="18" t="s">
        <v>18</v>
      </c>
      <c r="Q89" s="18">
        <v>300</v>
      </c>
      <c r="R89" s="18">
        <v>4200</v>
      </c>
      <c r="S89" s="27">
        <v>1283.3138416793922</v>
      </c>
      <c r="T89" s="18" t="s">
        <v>19</v>
      </c>
      <c r="U89" s="27">
        <f t="shared" si="1"/>
        <v>-100.07827946584339</v>
      </c>
      <c r="V89" s="28">
        <v>0.1167072682347995</v>
      </c>
    </row>
    <row r="90" spans="1:22" x14ac:dyDescent="0.3">
      <c r="A90" s="19">
        <v>88</v>
      </c>
      <c r="B90" s="18" t="s">
        <v>15</v>
      </c>
      <c r="C90" s="18" t="s">
        <v>16</v>
      </c>
      <c r="D90" s="18">
        <v>18</v>
      </c>
      <c r="E90" s="27">
        <v>7.2610740470392772</v>
      </c>
      <c r="F90" s="18">
        <v>93</v>
      </c>
      <c r="G90" s="27">
        <v>328.85601790603198</v>
      </c>
      <c r="H90" s="18">
        <v>0</v>
      </c>
      <c r="I90" s="18" t="s">
        <v>17</v>
      </c>
      <c r="J90" s="27">
        <v>4.5489175318103801</v>
      </c>
      <c r="K90" s="27">
        <v>11.2303445699637</v>
      </c>
      <c r="L90" s="18">
        <v>8174990</v>
      </c>
      <c r="M90" s="18">
        <v>1</v>
      </c>
      <c r="N90" s="27">
        <v>329.14002724178403</v>
      </c>
      <c r="O90" s="18" t="s">
        <v>22</v>
      </c>
      <c r="P90" s="18" t="s">
        <v>18</v>
      </c>
      <c r="Q90" s="18">
        <v>300</v>
      </c>
      <c r="R90" s="18">
        <v>4200</v>
      </c>
      <c r="S90" s="27">
        <v>5131.4203135597709</v>
      </c>
      <c r="T90" s="18" t="s">
        <v>19</v>
      </c>
      <c r="U90" s="27">
        <f t="shared" si="1"/>
        <v>148.85601790603198</v>
      </c>
      <c r="V90" s="28">
        <v>0.1167072682347995</v>
      </c>
    </row>
    <row r="91" spans="1:22" x14ac:dyDescent="0.3">
      <c r="A91" s="19">
        <v>89</v>
      </c>
      <c r="B91" s="18" t="s">
        <v>15</v>
      </c>
      <c r="C91" s="18" t="s">
        <v>16</v>
      </c>
      <c r="D91" s="18">
        <v>18</v>
      </c>
      <c r="E91" s="27">
        <v>7.2610740470392772</v>
      </c>
      <c r="F91" s="18">
        <v>93</v>
      </c>
      <c r="G91" s="27">
        <v>123.836314874496</v>
      </c>
      <c r="H91" s="18">
        <v>0</v>
      </c>
      <c r="I91" s="18" t="s">
        <v>17</v>
      </c>
      <c r="J91" s="27">
        <v>3.1916218334580102</v>
      </c>
      <c r="K91" s="27">
        <v>7.6159158479376501</v>
      </c>
      <c r="L91" s="18">
        <v>5239787</v>
      </c>
      <c r="M91" s="18">
        <v>2.33</v>
      </c>
      <c r="N91" s="27">
        <v>125.42376571989401</v>
      </c>
      <c r="O91" s="18" t="s">
        <v>22</v>
      </c>
      <c r="P91" s="18" t="s">
        <v>18</v>
      </c>
      <c r="Q91" s="18">
        <v>300</v>
      </c>
      <c r="R91" s="18">
        <v>4200</v>
      </c>
      <c r="S91" s="27">
        <v>3129.989002799527</v>
      </c>
      <c r="T91" s="18" t="s">
        <v>19</v>
      </c>
      <c r="U91" s="27">
        <f t="shared" si="1"/>
        <v>-56.163685125504003</v>
      </c>
      <c r="V91" s="28">
        <v>0.1167072682347995</v>
      </c>
    </row>
    <row r="92" spans="1:22" x14ac:dyDescent="0.3">
      <c r="A92" s="19">
        <v>90</v>
      </c>
      <c r="B92" s="18" t="s">
        <v>15</v>
      </c>
      <c r="C92" s="18" t="s">
        <v>16</v>
      </c>
      <c r="D92" s="18">
        <v>19</v>
      </c>
      <c r="E92" s="27">
        <v>6.9876278122809499</v>
      </c>
      <c r="F92" s="18">
        <v>72</v>
      </c>
      <c r="G92" s="27">
        <v>164.073385260186</v>
      </c>
      <c r="H92" s="18">
        <v>0</v>
      </c>
      <c r="I92" s="18" t="s">
        <v>17</v>
      </c>
      <c r="J92" s="27">
        <v>2.93027423581746</v>
      </c>
      <c r="K92" s="27">
        <v>7.5675168472307304</v>
      </c>
      <c r="L92" s="18">
        <v>8201491</v>
      </c>
      <c r="M92" s="18">
        <v>1.95</v>
      </c>
      <c r="N92" s="27">
        <v>169.11618746068899</v>
      </c>
      <c r="O92" s="18" t="s">
        <v>22</v>
      </c>
      <c r="P92" s="18" t="s">
        <v>18</v>
      </c>
      <c r="Q92" s="18">
        <v>300</v>
      </c>
      <c r="R92" s="18">
        <v>4200</v>
      </c>
      <c r="S92" s="27">
        <v>4090.9451730942619</v>
      </c>
      <c r="T92" s="18" t="s">
        <v>19</v>
      </c>
      <c r="U92" s="27">
        <f t="shared" si="1"/>
        <v>-15.926614739813999</v>
      </c>
      <c r="V92" s="28">
        <v>0.123191005358955</v>
      </c>
    </row>
    <row r="93" spans="1:22" x14ac:dyDescent="0.3">
      <c r="A93" s="19">
        <v>91</v>
      </c>
      <c r="B93" s="18" t="s">
        <v>15</v>
      </c>
      <c r="C93" s="18" t="s">
        <v>16</v>
      </c>
      <c r="D93" s="18">
        <v>19</v>
      </c>
      <c r="E93" s="27">
        <v>6.9876278122809499</v>
      </c>
      <c r="F93" s="18">
        <v>72</v>
      </c>
      <c r="G93" s="27">
        <v>256.76356931048701</v>
      </c>
      <c r="H93" s="18">
        <v>0</v>
      </c>
      <c r="I93" s="18" t="s">
        <v>17</v>
      </c>
      <c r="J93" s="27">
        <v>3.4977194385585899</v>
      </c>
      <c r="K93" s="27">
        <v>8.6231535137121202</v>
      </c>
      <c r="L93" s="18">
        <v>389150</v>
      </c>
      <c r="M93" s="18">
        <v>1.56</v>
      </c>
      <c r="N93" s="27">
        <v>254.13414380799099</v>
      </c>
      <c r="O93" s="18" t="s">
        <v>22</v>
      </c>
      <c r="P93" s="18" t="s">
        <v>18</v>
      </c>
      <c r="Q93" s="18">
        <v>300</v>
      </c>
      <c r="R93" s="18">
        <v>4200</v>
      </c>
      <c r="S93" s="27">
        <v>5488.6439949424057</v>
      </c>
      <c r="T93" s="18" t="s">
        <v>19</v>
      </c>
      <c r="U93" s="27">
        <f t="shared" si="1"/>
        <v>76.763569310487014</v>
      </c>
      <c r="V93" s="28">
        <v>0.123191005358955</v>
      </c>
    </row>
    <row r="94" spans="1:22" x14ac:dyDescent="0.3">
      <c r="A94" s="19">
        <v>92</v>
      </c>
      <c r="B94" s="18" t="s">
        <v>15</v>
      </c>
      <c r="C94" s="18" t="s">
        <v>16</v>
      </c>
      <c r="D94" s="18">
        <v>19</v>
      </c>
      <c r="E94" s="27">
        <v>6.9876278122809499</v>
      </c>
      <c r="F94" s="18">
        <v>72</v>
      </c>
      <c r="G94" s="27">
        <v>57.473571305131998</v>
      </c>
      <c r="H94" s="18">
        <v>0</v>
      </c>
      <c r="I94" s="18" t="s">
        <v>17</v>
      </c>
      <c r="J94" s="27">
        <v>3.0642478650273399</v>
      </c>
      <c r="K94" s="27">
        <v>8.0669142720965699</v>
      </c>
      <c r="L94" s="18">
        <v>226472</v>
      </c>
      <c r="M94" s="18">
        <v>1.57</v>
      </c>
      <c r="N94" s="27">
        <v>288.068266207612</v>
      </c>
      <c r="O94" s="18" t="s">
        <v>22</v>
      </c>
      <c r="P94" s="18" t="s">
        <v>18</v>
      </c>
      <c r="Q94" s="18">
        <v>300</v>
      </c>
      <c r="R94" s="18">
        <v>4200</v>
      </c>
      <c r="S94" s="27">
        <v>0.61168438592916652</v>
      </c>
      <c r="T94" s="18" t="s">
        <v>19</v>
      </c>
      <c r="U94" s="27">
        <f t="shared" si="1"/>
        <v>-122.526428694868</v>
      </c>
      <c r="V94" s="28">
        <v>0.123191005358955</v>
      </c>
    </row>
    <row r="95" spans="1:22" x14ac:dyDescent="0.3">
      <c r="A95" s="19">
        <v>93</v>
      </c>
      <c r="B95" s="18" t="s">
        <v>15</v>
      </c>
      <c r="C95" s="18" t="s">
        <v>16</v>
      </c>
      <c r="D95" s="18">
        <v>20</v>
      </c>
      <c r="E95" s="27">
        <v>6.7691633571060699</v>
      </c>
      <c r="F95" s="18">
        <v>622</v>
      </c>
      <c r="G95" s="27">
        <v>54.591208329813497</v>
      </c>
      <c r="H95" s="18">
        <v>0</v>
      </c>
      <c r="I95" s="18" t="s">
        <v>17</v>
      </c>
      <c r="J95" s="27">
        <v>4.45199754473908</v>
      </c>
      <c r="K95" s="27">
        <v>9.6051695024561603</v>
      </c>
      <c r="L95" s="18">
        <v>3788804</v>
      </c>
      <c r="M95" s="18">
        <v>1.67</v>
      </c>
      <c r="N95" s="27">
        <v>57.573208244068198</v>
      </c>
      <c r="O95" s="18" t="s">
        <v>22</v>
      </c>
      <c r="P95" s="18" t="s">
        <v>18</v>
      </c>
      <c r="Q95" s="18">
        <v>300</v>
      </c>
      <c r="R95" s="18">
        <v>4200</v>
      </c>
      <c r="S95" s="27">
        <v>146.19256823707073</v>
      </c>
      <c r="T95" s="18" t="s">
        <v>19</v>
      </c>
      <c r="U95" s="27">
        <f t="shared" si="1"/>
        <v>-125.4087916701865</v>
      </c>
      <c r="V95" s="28">
        <v>0.12967474248311059</v>
      </c>
    </row>
    <row r="96" spans="1:22" x14ac:dyDescent="0.3">
      <c r="A96" s="19">
        <v>94</v>
      </c>
      <c r="B96" s="18" t="s">
        <v>15</v>
      </c>
      <c r="C96" s="18" t="s">
        <v>16</v>
      </c>
      <c r="D96" s="18">
        <v>20</v>
      </c>
      <c r="E96" s="27">
        <v>6.7691633571060699</v>
      </c>
      <c r="F96" s="18">
        <v>622</v>
      </c>
      <c r="G96" s="27">
        <v>221.90397257087699</v>
      </c>
      <c r="H96" s="18">
        <v>0</v>
      </c>
      <c r="I96" s="18" t="s">
        <v>17</v>
      </c>
      <c r="J96" s="27">
        <v>3.2887246754547501</v>
      </c>
      <c r="K96" s="27">
        <v>8.27690061496412</v>
      </c>
      <c r="L96" s="18">
        <v>9264476</v>
      </c>
      <c r="M96" s="18">
        <v>1.65</v>
      </c>
      <c r="N96" s="27">
        <v>219.019543040625</v>
      </c>
      <c r="O96" s="18" t="s">
        <v>22</v>
      </c>
      <c r="P96" s="18" t="s">
        <v>18</v>
      </c>
      <c r="Q96" s="18">
        <v>300</v>
      </c>
      <c r="R96" s="18">
        <v>4200</v>
      </c>
      <c r="S96" s="27">
        <v>4470.801176756273</v>
      </c>
      <c r="T96" s="18" t="s">
        <v>19</v>
      </c>
      <c r="U96" s="27">
        <f t="shared" si="1"/>
        <v>41.903972570876988</v>
      </c>
      <c r="V96" s="28">
        <v>0.12967474248311059</v>
      </c>
    </row>
    <row r="97" spans="1:22" x14ac:dyDescent="0.3">
      <c r="A97" s="19">
        <v>95</v>
      </c>
      <c r="B97" s="18" t="s">
        <v>15</v>
      </c>
      <c r="C97" s="18" t="s">
        <v>16</v>
      </c>
      <c r="D97" s="18">
        <v>20</v>
      </c>
      <c r="E97" s="27">
        <v>6.7691633571060699</v>
      </c>
      <c r="F97" s="18">
        <v>622</v>
      </c>
      <c r="G97" s="27">
        <v>101.74517377877601</v>
      </c>
      <c r="H97" s="18">
        <v>0</v>
      </c>
      <c r="I97" s="18" t="s">
        <v>17</v>
      </c>
      <c r="J97" s="27">
        <v>3.9550510806587802</v>
      </c>
      <c r="K97" s="27">
        <v>8.3270133719199606</v>
      </c>
      <c r="L97" s="18">
        <v>2814873</v>
      </c>
      <c r="M97" s="18">
        <v>2.5499999999999998</v>
      </c>
      <c r="N97" s="27">
        <v>95.608512342537196</v>
      </c>
      <c r="O97" s="18" t="s">
        <v>22</v>
      </c>
      <c r="P97" s="18" t="s">
        <v>18</v>
      </c>
      <c r="Q97" s="18">
        <v>300</v>
      </c>
      <c r="R97" s="18">
        <v>4200</v>
      </c>
      <c r="S97" s="27">
        <v>1430.7297786883216</v>
      </c>
      <c r="T97" s="18" t="s">
        <v>19</v>
      </c>
      <c r="U97" s="27">
        <f t="shared" si="1"/>
        <v>-78.254826221223993</v>
      </c>
      <c r="V97" s="28">
        <v>0.12967474248311059</v>
      </c>
    </row>
    <row r="98" spans="1:22" x14ac:dyDescent="0.3">
      <c r="A98" s="19">
        <v>96</v>
      </c>
      <c r="B98" s="18" t="s">
        <v>15</v>
      </c>
      <c r="C98" s="18" t="s">
        <v>16</v>
      </c>
      <c r="D98" s="18">
        <v>22</v>
      </c>
      <c r="E98" s="27">
        <v>6.469358825795732</v>
      </c>
      <c r="F98" s="18">
        <v>938</v>
      </c>
      <c r="G98" s="27">
        <v>271.97817331184399</v>
      </c>
      <c r="H98" s="18">
        <v>0</v>
      </c>
      <c r="I98" s="18" t="s">
        <v>17</v>
      </c>
      <c r="J98" s="27">
        <v>5.2997575228043399</v>
      </c>
      <c r="K98" s="27">
        <v>10.5344261033239</v>
      </c>
      <c r="L98" s="18">
        <v>5307481</v>
      </c>
      <c r="M98" s="18">
        <v>1.63</v>
      </c>
      <c r="N98" s="27">
        <v>273.856768718176</v>
      </c>
      <c r="O98" s="18" t="s">
        <v>22</v>
      </c>
      <c r="P98" s="18" t="s">
        <v>18</v>
      </c>
      <c r="Q98" s="18">
        <v>300</v>
      </c>
      <c r="R98" s="18">
        <v>4200</v>
      </c>
      <c r="S98" s="27">
        <v>2428.998696524709</v>
      </c>
      <c r="T98" s="18" t="s">
        <v>19</v>
      </c>
      <c r="U98" s="27">
        <f t="shared" si="1"/>
        <v>91.978173311843989</v>
      </c>
      <c r="V98" s="28">
        <v>0.14264221673142161</v>
      </c>
    </row>
    <row r="99" spans="1:22" x14ac:dyDescent="0.3">
      <c r="A99" s="19">
        <v>97</v>
      </c>
      <c r="B99" s="18" t="s">
        <v>15</v>
      </c>
      <c r="C99" s="18" t="s">
        <v>16</v>
      </c>
      <c r="D99" s="18">
        <v>24</v>
      </c>
      <c r="E99" s="27">
        <v>6.2304349858281993</v>
      </c>
      <c r="F99" s="18">
        <v>231</v>
      </c>
      <c r="G99" s="27">
        <v>212.548578581274</v>
      </c>
      <c r="H99" s="18">
        <v>0</v>
      </c>
      <c r="I99" s="18" t="s">
        <v>17</v>
      </c>
      <c r="J99" s="27">
        <v>5.0334665469236102</v>
      </c>
      <c r="K99" s="27">
        <v>9.7116135224564601</v>
      </c>
      <c r="L99" s="18">
        <v>9464149</v>
      </c>
      <c r="M99" s="18">
        <v>2.16</v>
      </c>
      <c r="N99" s="27">
        <v>211.75103943844701</v>
      </c>
      <c r="O99" s="18" t="s">
        <v>22</v>
      </c>
      <c r="P99" s="18" t="s">
        <v>18</v>
      </c>
      <c r="Q99" s="18">
        <v>300</v>
      </c>
      <c r="R99" s="18">
        <v>4200</v>
      </c>
      <c r="S99" s="27">
        <v>1756.7575563885655</v>
      </c>
      <c r="T99" s="18" t="s">
        <v>19</v>
      </c>
      <c r="U99" s="27">
        <f t="shared" si="1"/>
        <v>32.548578581274</v>
      </c>
      <c r="V99" s="28">
        <v>0.15560969097973271</v>
      </c>
    </row>
    <row r="100" spans="1:22" ht="15" thickBot="1" x14ac:dyDescent="0.35">
      <c r="A100" s="20">
        <v>98</v>
      </c>
      <c r="B100" s="21" t="s">
        <v>15</v>
      </c>
      <c r="C100" s="21" t="s">
        <v>16</v>
      </c>
      <c r="D100" s="21">
        <v>25</v>
      </c>
      <c r="E100" s="29">
        <v>6.0728512219961228</v>
      </c>
      <c r="F100" s="21">
        <v>630</v>
      </c>
      <c r="G100" s="29">
        <v>57.759894279540099</v>
      </c>
      <c r="H100" s="21">
        <v>0</v>
      </c>
      <c r="I100" s="21" t="s">
        <v>17</v>
      </c>
      <c r="J100" s="29">
        <v>6.2224683476999498</v>
      </c>
      <c r="K100" s="29">
        <v>10.710550290947101</v>
      </c>
      <c r="L100" s="18">
        <v>1341105</v>
      </c>
      <c r="M100" s="21">
        <v>2.25</v>
      </c>
      <c r="N100" s="29">
        <v>54.977326727135598</v>
      </c>
      <c r="O100" s="21" t="s">
        <v>22</v>
      </c>
      <c r="P100" s="21" t="s">
        <v>18</v>
      </c>
      <c r="Q100" s="21">
        <v>300</v>
      </c>
      <c r="R100" s="21">
        <v>4200</v>
      </c>
      <c r="S100" s="29">
        <v>24.467375437166531</v>
      </c>
      <c r="T100" s="21" t="s">
        <v>19</v>
      </c>
      <c r="U100" s="29">
        <f t="shared" si="1"/>
        <v>-122.24010572045989</v>
      </c>
      <c r="V100" s="30">
        <v>0.16209342810388819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51a4b9f5-2f3d-4552-a3dc-cf3a5c0a82da" xsi:nil="true"/>
    <Document_x0020_ID xmlns="51a4b9f5-2f3d-4552-a3dc-cf3a5c0a82da" xsi:nil="true"/>
    <_Version xmlns="http://schemas.microsoft.com/sharepoint/v3/fields">0</_Version>
    <ProjectName xmlns="51a4b9f5-2f3d-4552-a3dc-cf3a5c0a82da" xsi:nil="true"/>
    <_Status xmlns="http://schemas.microsoft.com/sharepoint/v3/fields">Not Started</_Status>
    <ProposalStatus xmlns="51a4b9f5-2f3d-4552-a3dc-cf3a5c0a82da" xsi:nil="true"/>
    <TaxCatchAll xmlns="52a45be4-503f-41bc-b2ae-9c613274fa55" xsi:nil="true"/>
    <_Revision xmlns="http://schemas.microsoft.com/sharepoint/v3/fields" xsi:nil="true"/>
    <Note xmlns="51a4b9f5-2f3d-4552-a3dc-cf3a5c0a82da" xsi:nil="true"/>
    <ol_Department xmlns="http://schemas.microsoft.com/sharepoint/v3">Design Service Line</ol_Department>
    <lcf76f155ced4ddcb4097134ff3c332f xmlns="51a4b9f5-2f3d-4552-a3dc-cf3a5c0a82d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5A44026FF1049AAA555456DD3CC36" ma:contentTypeVersion="24" ma:contentTypeDescription="Create a new document." ma:contentTypeScope="" ma:versionID="91c7372e526dcb60068627c961f42500">
  <xsd:schema xmlns:xsd="http://www.w3.org/2001/XMLSchema" xmlns:xs="http://www.w3.org/2001/XMLSchema" xmlns:p="http://schemas.microsoft.com/office/2006/metadata/properties" xmlns:ns1="http://schemas.microsoft.com/sharepoint/v3" xmlns:ns2="51a4b9f5-2f3d-4552-a3dc-cf3a5c0a82da" xmlns:ns3="52a45be4-503f-41bc-b2ae-9c613274fa55" xmlns:ns4="http://schemas.microsoft.com/sharepoint/v3/fields" targetNamespace="http://schemas.microsoft.com/office/2006/metadata/properties" ma:root="true" ma:fieldsID="71e183c8e7ffd71c37f28578e901d8f4" ns1:_="" ns2:_="" ns3:_="" ns4:_="">
    <xsd:import namespace="http://schemas.microsoft.com/sharepoint/v3"/>
    <xsd:import namespace="51a4b9f5-2f3d-4552-a3dc-cf3a5c0a82da"/>
    <xsd:import namespace="52a45be4-503f-41bc-b2ae-9c613274fa55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ocument_x0020_ID" minOccurs="0"/>
                <xsd:element ref="ns4:_Version" minOccurs="0"/>
                <xsd:element ref="ns1:ol_Department" minOccurs="0"/>
                <xsd:element ref="ns4:_Revision" minOccurs="0"/>
                <xsd:element ref="ns4:_Status" minOccurs="0"/>
                <xsd:element ref="ns2:MediaLengthInSeconds" minOccurs="0"/>
                <xsd:element ref="ns2:Date" minOccurs="0"/>
                <xsd:element ref="ns2:MediaServiceBillingMetadata" minOccurs="0"/>
                <xsd:element ref="ns2:ProposalStatus" minOccurs="0"/>
                <xsd:element ref="ns2:ProjectName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ol_Department" ma:index="23" nillable="true" ma:displayName="Department" ma:internalName="ol_Departmen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4b9f5-2f3d-4552-a3dc-cf3a5c0a82d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79f9190-c303-4c25-82de-7178e9e916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ocument_x0020_ID" ma:index="20" nillable="true" ma:displayName="Document ID" ma:internalName="Document_x0020_ID">
      <xsd:simpleType>
        <xsd:restriction base="dms:Text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7" nillable="true" ma:displayName="Date" ma:format="DateTime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posalStatus" ma:index="29" nillable="true" ma:displayName="Proposal Status" ma:format="RadioButtons" ma:internalName="ProposalStatus">
      <xsd:simpleType>
        <xsd:restriction base="dms:Choice">
          <xsd:enumeration value="Closed - Won"/>
          <xsd:enumeration value="Closed - Lost"/>
          <xsd:enumeration value="Proposal / Prequal Issued"/>
          <xsd:enumeration value="Revisions &amp; Negotiations"/>
          <xsd:enumeration value="Proposal / Prequal Creation"/>
          <xsd:enumeration value="Closed - Declined"/>
          <xsd:enumeration value="Prospect"/>
          <xsd:enumeration value="Working at Risk"/>
          <xsd:enumeration value="Eoin"/>
          <xsd:enumeration value="Work in Progress"/>
        </xsd:restriction>
      </xsd:simpleType>
    </xsd:element>
    <xsd:element name="ProjectName" ma:index="30" nillable="true" ma:displayName="Project Name" ma:format="Dropdown" ma:internalName="ProjectName">
      <xsd:simpleType>
        <xsd:restriction base="dms:Text">
          <xsd:maxLength value="255"/>
        </xsd:restriction>
      </xsd:simpleType>
    </xsd:element>
    <xsd:element name="Note" ma:index="31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45be4-503f-41bc-b2ae-9c613274fa5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445b545-1b69-4834-ad25-a5ca62018df7}" ma:internalName="TaxCatchAll" ma:showField="CatchAllData" ma:web="52a45be4-503f-41bc-b2ae-9c613274fa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1" nillable="true" ma:displayName="Version" ma:decimals="0" ma:default="0" ma:format="Dropdown" ma:internalName="_Version" ma:percentage="FALSE">
      <xsd:simpleType>
        <xsd:restriction base="dms:Number"/>
      </xsd:simpleType>
    </xsd:element>
    <xsd:element name="_Revision" ma:index="24" nillable="true" ma:displayName="Revision" ma:internalName="_Revision">
      <xsd:simpleType>
        <xsd:restriction base="dms:Text"/>
      </xsd:simpleType>
    </xsd:element>
    <xsd:element name="_Status" ma:index="25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2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8A519-AAF2-4F70-AFC6-C9512EE0FD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DF7B6C-D0E7-4219-A4E7-388D90A07C17}">
  <ds:schemaRefs>
    <ds:schemaRef ds:uri="http://schemas.microsoft.com/office/2006/metadata/properties"/>
    <ds:schemaRef ds:uri="http://schemas.microsoft.com/office/infopath/2007/PartnerControls"/>
    <ds:schemaRef ds:uri="51a4b9f5-2f3d-4552-a3dc-cf3a5c0a82da"/>
    <ds:schemaRef ds:uri="http://schemas.microsoft.com/sharepoint/v3/fields"/>
    <ds:schemaRef ds:uri="52a45be4-503f-41bc-b2ae-9c613274fa55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448A25F-2CA1-46BB-BEC5-230726B4B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1a4b9f5-2f3d-4552-a3dc-cf3a5c0a82da"/>
    <ds:schemaRef ds:uri="52a45be4-503f-41bc-b2ae-9c613274fa55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DLC12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Wright</cp:lastModifiedBy>
  <dcterms:created xsi:type="dcterms:W3CDTF">2024-03-19T10:01:55Z</dcterms:created>
  <dcterms:modified xsi:type="dcterms:W3CDTF">2026-05-08T14:05:57Z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0x0101009595A44026FF1049AAA555456DD3CC36</vt:lpwstr>
  </property>
  <property fmtid="{D5CDD505-2E9C-101B-9397-08002B2CF9AE}" pid="3" name="MediaServiceImageTags">
    <vt:lpwstr/>
  </property>
</Properties>
</file>